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85" i="1" l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D453" i="1" l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29" i="1" l="1"/>
  <c r="D397" i="1"/>
  <c r="D158" i="1" l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 l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 l="1"/>
  <c r="D96" i="1"/>
  <c r="D95" i="1"/>
  <c r="D94" i="1"/>
  <c r="D93" i="1"/>
  <c r="D92" i="1"/>
  <c r="D91" i="1"/>
  <c r="D90" i="1"/>
  <c r="D89" i="1"/>
  <c r="D88" i="1"/>
  <c r="D87" i="1"/>
  <c r="D86" i="1"/>
  <c r="D2" i="1"/>
  <c r="D85" i="1"/>
  <c r="D84" i="1"/>
  <c r="D83" i="1" l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I4" i="1"/>
</calcChain>
</file>

<file path=xl/sharedStrings.xml><?xml version="1.0" encoding="utf-8"?>
<sst xmlns="http://schemas.openxmlformats.org/spreadsheetml/2006/main" count="15209" uniqueCount="1507">
  <si>
    <t>Nama</t>
  </si>
  <si>
    <t>Status</t>
  </si>
  <si>
    <t>Pekerjaan</t>
  </si>
  <si>
    <t>Penghasilan</t>
  </si>
  <si>
    <t>Pendidikan</t>
  </si>
  <si>
    <t>Zulfikal Ali</t>
  </si>
  <si>
    <t>Kepala Keluarga</t>
  </si>
  <si>
    <t>SMP</t>
  </si>
  <si>
    <t>Milik Sendiri</t>
  </si>
  <si>
    <t>Jenis Lantai</t>
  </si>
  <si>
    <t>Keramik</t>
  </si>
  <si>
    <t>Tembok</t>
  </si>
  <si>
    <t>Jenis Atap</t>
  </si>
  <si>
    <t>Tempat Buang Air Besar (MCK / Toilet)</t>
  </si>
  <si>
    <t>Genteng</t>
  </si>
  <si>
    <t>Toilet sendiri di rumah</t>
  </si>
  <si>
    <t>Pembungan Akhir Tinja</t>
  </si>
  <si>
    <t>Tangki Septik</t>
  </si>
  <si>
    <t>Sumber Air Minum</t>
  </si>
  <si>
    <t>Sumur terlindungi</t>
  </si>
  <si>
    <t>Sumber Penerangan</t>
  </si>
  <si>
    <t>Listrik PLN dengan meteran</t>
  </si>
  <si>
    <t>Kepemilikan Aset Gerak</t>
  </si>
  <si>
    <t>Motor</t>
  </si>
  <si>
    <t>Jumlah Aset Gerak</t>
  </si>
  <si>
    <t>Kepemilikan Aset Tidak bergerak</t>
  </si>
  <si>
    <t>Kulkas, Hp</t>
  </si>
  <si>
    <t>Ratni</t>
  </si>
  <si>
    <t>Istri/Suami</t>
  </si>
  <si>
    <t>Tidak bekerja</t>
  </si>
  <si>
    <t>SD</t>
  </si>
  <si>
    <t>Umi Kulsum</t>
  </si>
  <si>
    <t>Balita/Anak Usia Dini</t>
  </si>
  <si>
    <t>Lansia (&gt;60 tahun)</t>
  </si>
  <si>
    <t>Disabilitas/Penyakit Kronis</t>
  </si>
  <si>
    <t>Berat</t>
  </si>
  <si>
    <t>Bahan Bakar</t>
  </si>
  <si>
    <t>gas elpiji 3kg</t>
  </si>
  <si>
    <t>Semen/Bata merah</t>
  </si>
  <si>
    <t>Anyaman Bambu</t>
  </si>
  <si>
    <t>Seng</t>
  </si>
  <si>
    <t>Jenis Kloset</t>
  </si>
  <si>
    <t>Leher angsa</t>
  </si>
  <si>
    <t>Sumur bor/Pompa</t>
  </si>
  <si>
    <t>Ada</t>
  </si>
  <si>
    <t>Jumlah Anak Sekolah</t>
  </si>
  <si>
    <t>Tidak Ada</t>
  </si>
  <si>
    <t>Imam basuki</t>
  </si>
  <si>
    <t>Bebas Sewa</t>
  </si>
  <si>
    <t>Kayu/Papan</t>
  </si>
  <si>
    <t>Ngatinem</t>
  </si>
  <si>
    <t>M Salim</t>
  </si>
  <si>
    <t>Perhiasan, Kulkas, Hp</t>
  </si>
  <si>
    <t>Tri Intan</t>
  </si>
  <si>
    <t>Buruh/Karyawan/Pegawai Swasta</t>
  </si>
  <si>
    <t>Berusaha sendiri</t>
  </si>
  <si>
    <t>Zikrul Amar</t>
  </si>
  <si>
    <t>Jerami/Daun</t>
  </si>
  <si>
    <t>Tidak memasak di rumah</t>
  </si>
  <si>
    <t>Kepemilikan Lahan/Ternak</t>
  </si>
  <si>
    <t>Lebih Dari 1</t>
  </si>
  <si>
    <t>Rusnani</t>
  </si>
  <si>
    <t>Ibrahim</t>
  </si>
  <si>
    <t>Tidak Sekolah</t>
  </si>
  <si>
    <t>Lebih dari 1</t>
  </si>
  <si>
    <t>Basirah</t>
  </si>
  <si>
    <t>Sudardami</t>
  </si>
  <si>
    <t>Kulkas, Tv, Komputer, Hp</t>
  </si>
  <si>
    <t>Rita Wati</t>
  </si>
  <si>
    <t>Zulhamdani</t>
  </si>
  <si>
    <t>Aswita</t>
  </si>
  <si>
    <t>Tuminah</t>
  </si>
  <si>
    <t>Kontrak/Sewa</t>
  </si>
  <si>
    <t>Tidak ada</t>
  </si>
  <si>
    <t>Ringan</t>
  </si>
  <si>
    <t>Rahman Saragih</t>
  </si>
  <si>
    <t>Hp</t>
  </si>
  <si>
    <t>Sri Wulan</t>
  </si>
  <si>
    <t>Dawiyah</t>
  </si>
  <si>
    <t>Sukarjo</t>
  </si>
  <si>
    <t>Saipul Asmi</t>
  </si>
  <si>
    <t>Sakbania</t>
  </si>
  <si>
    <t>Erni Yusmila</t>
  </si>
  <si>
    <t>Teguh Sugiarto</t>
  </si>
  <si>
    <t>Motor, Sepeda</t>
  </si>
  <si>
    <t>Manisah</t>
  </si>
  <si>
    <t>Sipono</t>
  </si>
  <si>
    <t>Air isi ulang</t>
  </si>
  <si>
    <t>Paretongan</t>
  </si>
  <si>
    <t>Belum di tentukan</t>
  </si>
  <si>
    <t>Sri Ayuni</t>
  </si>
  <si>
    <t>Ermawati</t>
  </si>
  <si>
    <t>Sepeda</t>
  </si>
  <si>
    <t>Suyadi</t>
  </si>
  <si>
    <t>Abd. Hamid</t>
  </si>
  <si>
    <t>Nurul Khoiriyah</t>
  </si>
  <si>
    <t>Balqis</t>
  </si>
  <si>
    <t>Sulastri</t>
  </si>
  <si>
    <t>Yusmi</t>
  </si>
  <si>
    <t>Irianto</t>
  </si>
  <si>
    <t>Sumiati</t>
  </si>
  <si>
    <t>Zulfadli</t>
  </si>
  <si>
    <t>Perhiasan, Hp</t>
  </si>
  <si>
    <t>Ika Liana</t>
  </si>
  <si>
    <t>Chairil Anwar</t>
  </si>
  <si>
    <t>Yulinda</t>
  </si>
  <si>
    <t>Juliarti</t>
  </si>
  <si>
    <t>Darmawan</t>
  </si>
  <si>
    <t>Elisa</t>
  </si>
  <si>
    <t>Mariani</t>
  </si>
  <si>
    <t>Syahrul sukiono</t>
  </si>
  <si>
    <t>Susi Anggreini</t>
  </si>
  <si>
    <t>Hery Putra</t>
  </si>
  <si>
    <t>Supriadi</t>
  </si>
  <si>
    <t>Lainnya</t>
  </si>
  <si>
    <t>Trisnawati</t>
  </si>
  <si>
    <t>Buono Sagih</t>
  </si>
  <si>
    <t>Kulkas</t>
  </si>
  <si>
    <t>Tuti Mardiana</t>
  </si>
  <si>
    <t>Pekerja keluarga/Tidak dibayar</t>
  </si>
  <si>
    <t>Agus Nardi</t>
  </si>
  <si>
    <t>Fitri</t>
  </si>
  <si>
    <t>Tahun Lahir</t>
  </si>
  <si>
    <t>Syahbudn</t>
  </si>
  <si>
    <t>Beton</t>
  </si>
  <si>
    <t>Air Hujan</t>
  </si>
  <si>
    <t>Ramiati</t>
  </si>
  <si>
    <t>Zakaria</t>
  </si>
  <si>
    <t>Sri Yanti</t>
  </si>
  <si>
    <t>Nur Hayati</t>
  </si>
  <si>
    <t>Muhammad Taufik</t>
  </si>
  <si>
    <t>Nia Tania</t>
  </si>
  <si>
    <t>Ernawati</t>
  </si>
  <si>
    <t>Toilet Bersama</t>
  </si>
  <si>
    <t>Julyanto Aditya</t>
  </si>
  <si>
    <t>Nurlia Rahma</t>
  </si>
  <si>
    <t>Iriadi</t>
  </si>
  <si>
    <t>Pekerja Bebas non-Pertanian</t>
  </si>
  <si>
    <t>Wiwin Linda</t>
  </si>
  <si>
    <t>SMA/SMK</t>
  </si>
  <si>
    <t>Aris</t>
  </si>
  <si>
    <t>Poniyem</t>
  </si>
  <si>
    <t>Kasmini</t>
  </si>
  <si>
    <t>Nuriadi</t>
  </si>
  <si>
    <t>Rini Friska</t>
  </si>
  <si>
    <t>Saring</t>
  </si>
  <si>
    <t>Kulkas, Hp, Laptop</t>
  </si>
  <si>
    <t>Jum Sriwiti</t>
  </si>
  <si>
    <t>Budiman</t>
  </si>
  <si>
    <t>Jumiyem</t>
  </si>
  <si>
    <t>Iryadi</t>
  </si>
  <si>
    <t>Pekerja Bebas Pertanian</t>
  </si>
  <si>
    <t>Suyani</t>
  </si>
  <si>
    <t>Dwi Saputra</t>
  </si>
  <si>
    <t>Indah Handayani</t>
  </si>
  <si>
    <t>Suhendrik</t>
  </si>
  <si>
    <t>Misbah Suaidah</t>
  </si>
  <si>
    <t>Syahrudi</t>
  </si>
  <si>
    <t>Rahmayani</t>
  </si>
  <si>
    <t>Suarman</t>
  </si>
  <si>
    <t>Arlia</t>
  </si>
  <si>
    <t xml:space="preserve">Juli Astuti </t>
  </si>
  <si>
    <t>Berusaha dibantu buruh tidak tetap/Tidak dibayar</t>
  </si>
  <si>
    <t>Ardiyah</t>
  </si>
  <si>
    <t>Mata air terlindung</t>
  </si>
  <si>
    <t>Rosmaida</t>
  </si>
  <si>
    <t>Basuki Adi</t>
  </si>
  <si>
    <t>Sunarti</t>
  </si>
  <si>
    <t>Awaludin</t>
  </si>
  <si>
    <t>Misyem</t>
  </si>
  <si>
    <t>Sarifuddin Purba</t>
  </si>
  <si>
    <t>Neneng Sri Rahayu</t>
  </si>
  <si>
    <t>Pitriani</t>
  </si>
  <si>
    <t>Lilis</t>
  </si>
  <si>
    <t>Chairani</t>
  </si>
  <si>
    <t>Dedy Purba</t>
  </si>
  <si>
    <t>Evy Triana</t>
  </si>
  <si>
    <t>Herman</t>
  </si>
  <si>
    <t>Jumino</t>
  </si>
  <si>
    <t>Juriah</t>
  </si>
  <si>
    <t>Syaipul Efendi</t>
  </si>
  <si>
    <t>Kulkas, Hp, Tv</t>
  </si>
  <si>
    <t>Windi Syafitri</t>
  </si>
  <si>
    <t>Saerah</t>
  </si>
  <si>
    <t>Dian</t>
  </si>
  <si>
    <t>Dewi Ayu Ningsih</t>
  </si>
  <si>
    <t>Wage T</t>
  </si>
  <si>
    <t>Berusaha dibantu buruh tetap/Dibayar</t>
  </si>
  <si>
    <t>Bani Wati</t>
  </si>
  <si>
    <t>Amini Wijaya</t>
  </si>
  <si>
    <t>Sahnan</t>
  </si>
  <si>
    <t>Diana Ristika</t>
  </si>
  <si>
    <t>Junengsih</t>
  </si>
  <si>
    <t>Idris Prastiyo</t>
  </si>
  <si>
    <t>Marsini</t>
  </si>
  <si>
    <t>Wakidi</t>
  </si>
  <si>
    <t>Listrik non-PLN</t>
  </si>
  <si>
    <t>Suriyani</t>
  </si>
  <si>
    <t>Heri Hamdi</t>
  </si>
  <si>
    <t>Lisda Wati</t>
  </si>
  <si>
    <t>Suhendri</t>
  </si>
  <si>
    <t>Rizka Tara</t>
  </si>
  <si>
    <t>Welas</t>
  </si>
  <si>
    <t>Fitri Hermawan</t>
  </si>
  <si>
    <t>Dinda</t>
  </si>
  <si>
    <t>Ade hariyono</t>
  </si>
  <si>
    <t>Sri Wahyu Ningsih</t>
  </si>
  <si>
    <t>Safrizal</t>
  </si>
  <si>
    <t>Darliana</t>
  </si>
  <si>
    <t>Amat Saleh</t>
  </si>
  <si>
    <t>Trisni</t>
  </si>
  <si>
    <t>Juamin</t>
  </si>
  <si>
    <t>Suyanti</t>
  </si>
  <si>
    <t>Misdianto</t>
  </si>
  <si>
    <t>Warsini</t>
  </si>
  <si>
    <t>Joko Wahyudi</t>
  </si>
  <si>
    <t>Sri Nuraini</t>
  </si>
  <si>
    <t>Tumini</t>
  </si>
  <si>
    <t>Boini</t>
  </si>
  <si>
    <t>Syahdani</t>
  </si>
  <si>
    <t>Yusnani</t>
  </si>
  <si>
    <t>Ade Kurniawan</t>
  </si>
  <si>
    <t>Surya</t>
  </si>
  <si>
    <t>Suparniah</t>
  </si>
  <si>
    <t>Anggun</t>
  </si>
  <si>
    <t>Siti akhiriyah</t>
  </si>
  <si>
    <t>Laila Maznah</t>
  </si>
  <si>
    <t>Pandi Pranata</t>
  </si>
  <si>
    <t>Sri Suari Yanti</t>
  </si>
  <si>
    <t>Tumino</t>
  </si>
  <si>
    <t>Sumini</t>
  </si>
  <si>
    <t>Boini (Sawo)</t>
  </si>
  <si>
    <t>Musliadi</t>
  </si>
  <si>
    <t>Haznun Simbolon</t>
  </si>
  <si>
    <t>Lenlani</t>
  </si>
  <si>
    <t>Chairani Dewi</t>
  </si>
  <si>
    <t>Abdul Malik</t>
  </si>
  <si>
    <t>Febrianti</t>
  </si>
  <si>
    <t>Azhari</t>
  </si>
  <si>
    <t>Fitriyani</t>
  </si>
  <si>
    <t>Tohir</t>
  </si>
  <si>
    <t>Nasiyem</t>
  </si>
  <si>
    <t>Jumiran</t>
  </si>
  <si>
    <t>Karisem</t>
  </si>
  <si>
    <t>Misni</t>
  </si>
  <si>
    <t>Bambang Rahmadani</t>
  </si>
  <si>
    <t>Ami Rizky Afia</t>
  </si>
  <si>
    <t>Ngatinah</t>
  </si>
  <si>
    <t>Sugianto</t>
  </si>
  <si>
    <t>Kulkas, Komputer, Hp</t>
  </si>
  <si>
    <t>Sapriani</t>
  </si>
  <si>
    <t>Paeran I</t>
  </si>
  <si>
    <t>Supiyah</t>
  </si>
  <si>
    <t>Seldi Fermadi</t>
  </si>
  <si>
    <t>Cindy Novita</t>
  </si>
  <si>
    <t>Budiman Hartono</t>
  </si>
  <si>
    <t>Tv</t>
  </si>
  <si>
    <t>Wiwik Margiatik</t>
  </si>
  <si>
    <t>Saminah</t>
  </si>
  <si>
    <t>Hamdani</t>
  </si>
  <si>
    <t>Suryani</t>
  </si>
  <si>
    <t>Sapiyah</t>
  </si>
  <si>
    <t>Ponirin</t>
  </si>
  <si>
    <t>Heri</t>
  </si>
  <si>
    <t>Eka Astuti</t>
  </si>
  <si>
    <t>M. Hasanuddin</t>
  </si>
  <si>
    <t>Jumiani</t>
  </si>
  <si>
    <t>Ramadian Saputra</t>
  </si>
  <si>
    <t>Maya Sari</t>
  </si>
  <si>
    <t>Ahmadi</t>
  </si>
  <si>
    <t>Paisah</t>
  </si>
  <si>
    <t>Syahrizal Saragih</t>
  </si>
  <si>
    <t>Painem</t>
  </si>
  <si>
    <t>Komiaty</t>
  </si>
  <si>
    <t>Yusniah</t>
  </si>
  <si>
    <t>Rudiyanto</t>
  </si>
  <si>
    <t>Jumairoh</t>
  </si>
  <si>
    <t>Sapriadi</t>
  </si>
  <si>
    <t>Juliana Br Sinaga</t>
  </si>
  <si>
    <t>Ardianto</t>
  </si>
  <si>
    <t>Leding</t>
  </si>
  <si>
    <t>Herawaati</t>
  </si>
  <si>
    <t>Hanafi</t>
  </si>
  <si>
    <t>Dewi Wulan</t>
  </si>
  <si>
    <t>Jayusman</t>
  </si>
  <si>
    <t>Ngasni</t>
  </si>
  <si>
    <t>Suriono</t>
  </si>
  <si>
    <t>Sumartini</t>
  </si>
  <si>
    <t>Suprianto</t>
  </si>
  <si>
    <t>Misdi</t>
  </si>
  <si>
    <t>Ahmad</t>
  </si>
  <si>
    <t>Dila arfizah</t>
  </si>
  <si>
    <t>Juliah</t>
  </si>
  <si>
    <t>Plengsengan dengan tutup</t>
  </si>
  <si>
    <t>Mas Wasis</t>
  </si>
  <si>
    <t>Ubin/Tegel/Teraso</t>
  </si>
  <si>
    <t>Perhiasan, Kulkas, Hp, Tv</t>
  </si>
  <si>
    <t>Sella Amanda</t>
  </si>
  <si>
    <t>Devi Ariani</t>
  </si>
  <si>
    <t>Sidi</t>
  </si>
  <si>
    <t>Musrina</t>
  </si>
  <si>
    <t>Agus</t>
  </si>
  <si>
    <t>Suratman</t>
  </si>
  <si>
    <t>Painah</t>
  </si>
  <si>
    <t>Dewi</t>
  </si>
  <si>
    <t>Agus Nawati</t>
  </si>
  <si>
    <t>Suhardi</t>
  </si>
  <si>
    <t>Mira</t>
  </si>
  <si>
    <t>Safi'i</t>
  </si>
  <si>
    <t>Rul Masliyani</t>
  </si>
  <si>
    <t>Indah Sri Pertiwi</t>
  </si>
  <si>
    <t>Mhd. Al Ghanni</t>
  </si>
  <si>
    <t>Anggi Anggraini</t>
  </si>
  <si>
    <t>Malik</t>
  </si>
  <si>
    <t>Halimatun</t>
  </si>
  <si>
    <t>Dedi Setiawa</t>
  </si>
  <si>
    <t>Evi Andriani</t>
  </si>
  <si>
    <t>Gunawan</t>
  </si>
  <si>
    <t>Siti Fatimah</t>
  </si>
  <si>
    <t>Legiman</t>
  </si>
  <si>
    <t>Rusmini</t>
  </si>
  <si>
    <t>Muhammad Alim</t>
  </si>
  <si>
    <t>Fazarika Tanjung</t>
  </si>
  <si>
    <t>Rahimah Rahim</t>
  </si>
  <si>
    <t>Rusiah</t>
  </si>
  <si>
    <t>Sumarni</t>
  </si>
  <si>
    <t>Sumitro</t>
  </si>
  <si>
    <t>Siti Ramadani</t>
  </si>
  <si>
    <t>Ali Saputra</t>
  </si>
  <si>
    <t>Tiwi Novida</t>
  </si>
  <si>
    <t>Paino</t>
  </si>
  <si>
    <t>Marmah</t>
  </si>
  <si>
    <t>Basyarwan</t>
  </si>
  <si>
    <t>Yuli Indah Sari</t>
  </si>
  <si>
    <t>Ali Usman</t>
  </si>
  <si>
    <t>Wagiyem</t>
  </si>
  <si>
    <t>Jumanto</t>
  </si>
  <si>
    <t>Rusmiati</t>
  </si>
  <si>
    <t>Amalian</t>
  </si>
  <si>
    <t>Kaslaini Siregar</t>
  </si>
  <si>
    <t>Juarni</t>
  </si>
  <si>
    <t>Ibnu Hajar</t>
  </si>
  <si>
    <t>Eliana Sinaga</t>
  </si>
  <si>
    <t>Januarman</t>
  </si>
  <si>
    <t>Asnidasari</t>
  </si>
  <si>
    <t>Supardi</t>
  </si>
  <si>
    <t>Priyanti</t>
  </si>
  <si>
    <t>Teguh Rahayu</t>
  </si>
  <si>
    <t>Yohani</t>
  </si>
  <si>
    <t>Mustika Ramadhan</t>
  </si>
  <si>
    <t>Rosaliana</t>
  </si>
  <si>
    <t>Seriadi</t>
  </si>
  <si>
    <t>Bahtiar Damanik</t>
  </si>
  <si>
    <t>Unarsih</t>
  </si>
  <si>
    <t>Tukini</t>
  </si>
  <si>
    <t>Pramana Putra</t>
  </si>
  <si>
    <t>Rahmawati</t>
  </si>
  <si>
    <t>Rustam</t>
  </si>
  <si>
    <t>Muriyati</t>
  </si>
  <si>
    <t>Surahman</t>
  </si>
  <si>
    <t>Juliati</t>
  </si>
  <si>
    <t>Saino</t>
  </si>
  <si>
    <t>Sukarna</t>
  </si>
  <si>
    <t>Waginem</t>
  </si>
  <si>
    <t>Jemain</t>
  </si>
  <si>
    <t>Jumali</t>
  </si>
  <si>
    <t>Rama Wahyuni</t>
  </si>
  <si>
    <t>Surianto</t>
  </si>
  <si>
    <t>Sri Anita</t>
  </si>
  <si>
    <t>Erwin</t>
  </si>
  <si>
    <t>Zarah</t>
  </si>
  <si>
    <t>Samiyah</t>
  </si>
  <si>
    <t>Tukiyah</t>
  </si>
  <si>
    <t>Sofyan</t>
  </si>
  <si>
    <t>Ponisah</t>
  </si>
  <si>
    <t>Suriadi</t>
  </si>
  <si>
    <t>Nabillah</t>
  </si>
  <si>
    <t>M.Rizal</t>
  </si>
  <si>
    <t>Rosmiati</t>
  </si>
  <si>
    <t>Sukimin</t>
  </si>
  <si>
    <t>Sry Murti</t>
  </si>
  <si>
    <t>Ermanto</t>
  </si>
  <si>
    <t>Alfanuddin</t>
  </si>
  <si>
    <t>Supiatik</t>
  </si>
  <si>
    <t>Hidayat</t>
  </si>
  <si>
    <t>D1/D2/D3</t>
  </si>
  <si>
    <t>Dariati</t>
  </si>
  <si>
    <t>Devi Fitriani</t>
  </si>
  <si>
    <t>Ahmad Fauzi</t>
  </si>
  <si>
    <t>Suratni</t>
  </si>
  <si>
    <t>Tommy Syahputra</t>
  </si>
  <si>
    <t>Jariah</t>
  </si>
  <si>
    <t>Sutejo</t>
  </si>
  <si>
    <t>Supini</t>
  </si>
  <si>
    <t>Riki Sandi</t>
  </si>
  <si>
    <t>Iria Hendra</t>
  </si>
  <si>
    <t>Purnama Sari</t>
  </si>
  <si>
    <t>Senen</t>
  </si>
  <si>
    <t>M Abdul Kadir</t>
  </si>
  <si>
    <t>Suhenny</t>
  </si>
  <si>
    <t>Nuraini</t>
  </si>
  <si>
    <t>Kulkas, Komputer, Hp, Tv</t>
  </si>
  <si>
    <t>Rohiman</t>
  </si>
  <si>
    <t>Juriati</t>
  </si>
  <si>
    <t>Mardiyanto</t>
  </si>
  <si>
    <t>Yusita</t>
  </si>
  <si>
    <t>Aminah</t>
  </si>
  <si>
    <t>Tanah</t>
  </si>
  <si>
    <t>Rahmat</t>
  </si>
  <si>
    <t>Armawani</t>
  </si>
  <si>
    <t>Irwansyah</t>
  </si>
  <si>
    <t>Wiskarini</t>
  </si>
  <si>
    <t>Wahyudi</t>
  </si>
  <si>
    <t>Anggun Azhari</t>
  </si>
  <si>
    <t>Arianto</t>
  </si>
  <si>
    <t>Nirmala Natasya</t>
  </si>
  <si>
    <t>Dodi Heri Kusuma</t>
  </si>
  <si>
    <t>Erpiani</t>
  </si>
  <si>
    <t>Hendra</t>
  </si>
  <si>
    <t>Sukatmi</t>
  </si>
  <si>
    <t>Nursam</t>
  </si>
  <si>
    <t>Muji Lestari</t>
  </si>
  <si>
    <t>Noval Irawan</t>
  </si>
  <si>
    <t>Citra Erzalina</t>
  </si>
  <si>
    <t>Salbiah</t>
  </si>
  <si>
    <t>Suriati</t>
  </si>
  <si>
    <t>Supriono</t>
  </si>
  <si>
    <t>Dewi Puspitas</t>
  </si>
  <si>
    <t>Jumiatik</t>
  </si>
  <si>
    <t>Zulkifli</t>
  </si>
  <si>
    <t>Titen</t>
  </si>
  <si>
    <t>Nur Ahmadi</t>
  </si>
  <si>
    <t>Joko Pramono</t>
  </si>
  <si>
    <t>Lela Wardani</t>
  </si>
  <si>
    <t>Suhariati</t>
  </si>
  <si>
    <t>Satria</t>
  </si>
  <si>
    <t>Rizahni</t>
  </si>
  <si>
    <t>Mhd. Riduan</t>
  </si>
  <si>
    <t>Anisa Hasibuan</t>
  </si>
  <si>
    <t>Ruazunawati</t>
  </si>
  <si>
    <t>Paiman</t>
  </si>
  <si>
    <t>Watini</t>
  </si>
  <si>
    <t>Syahrul</t>
  </si>
  <si>
    <t>Sinta Devi</t>
  </si>
  <si>
    <t>Rusli</t>
  </si>
  <si>
    <t>Purmawati</t>
  </si>
  <si>
    <t>Ahmad Saputra</t>
  </si>
  <si>
    <t>Dewi Astri</t>
  </si>
  <si>
    <t>Safi i</t>
  </si>
  <si>
    <t>Katik</t>
  </si>
  <si>
    <t>Wahyu</t>
  </si>
  <si>
    <t>Eka Meliana</t>
  </si>
  <si>
    <t>Yudianto</t>
  </si>
  <si>
    <t>Wahyuni</t>
  </si>
  <si>
    <t>Muhammad Antoni</t>
  </si>
  <si>
    <t>Tengku Juliana</t>
  </si>
  <si>
    <t>Sugito</t>
  </si>
  <si>
    <t>Rianti</t>
  </si>
  <si>
    <t>M Sopian Nst</t>
  </si>
  <si>
    <t>Yeti Apriana</t>
  </si>
  <si>
    <t>Ilham Irfansyah</t>
  </si>
  <si>
    <t>Uci Jamiah</t>
  </si>
  <si>
    <t>Juarso</t>
  </si>
  <si>
    <t>Misgiati</t>
  </si>
  <si>
    <t>Abdul Rahman</t>
  </si>
  <si>
    <t>Suhartini</t>
  </si>
  <si>
    <t>Mespah</t>
  </si>
  <si>
    <t>Armansyah Harahap</t>
  </si>
  <si>
    <t>Irwana Sitorus</t>
  </si>
  <si>
    <t>Rudi Hartono</t>
  </si>
  <si>
    <t>Ramadani</t>
  </si>
  <si>
    <t>Rudianto</t>
  </si>
  <si>
    <t>Poniatik</t>
  </si>
  <si>
    <t>Leni</t>
  </si>
  <si>
    <t>Sri Jjuharti</t>
  </si>
  <si>
    <t>Tarni</t>
  </si>
  <si>
    <t>Yusri</t>
  </si>
  <si>
    <t>Wallen Tina</t>
  </si>
  <si>
    <t>Sukinah</t>
  </si>
  <si>
    <t>Tri Wulan Sari</t>
  </si>
  <si>
    <t>Air kemasan</t>
  </si>
  <si>
    <t>Nurliasari</t>
  </si>
  <si>
    <t>Harsono Sembiring</t>
  </si>
  <si>
    <t>Andre Prayuda</t>
  </si>
  <si>
    <t>Auliyaa Vitaloca</t>
  </si>
  <si>
    <t>Faisal</t>
  </si>
  <si>
    <t>Sunardi</t>
  </si>
  <si>
    <t>Suratmi</t>
  </si>
  <si>
    <t>Priadi</t>
  </si>
  <si>
    <t>Ponirah</t>
  </si>
  <si>
    <t>Anton Mulya Sari</t>
  </si>
  <si>
    <t>Supiah</t>
  </si>
  <si>
    <t>Reski Sugma Bintaro</t>
  </si>
  <si>
    <t>Dian Puspita Rini</t>
  </si>
  <si>
    <t>Nazaruddin</t>
  </si>
  <si>
    <t>Desy Arianti</t>
  </si>
  <si>
    <t>Alimi</t>
  </si>
  <si>
    <t>Jamid</t>
  </si>
  <si>
    <t>Isnawati</t>
  </si>
  <si>
    <t>Saimi</t>
  </si>
  <si>
    <t>Sarianto</t>
  </si>
  <si>
    <t>Sri Jasa Lestari</t>
  </si>
  <si>
    <t>Feri Ardiansyah</t>
  </si>
  <si>
    <t>Nuriah</t>
  </si>
  <si>
    <t>Nining Herawati</t>
  </si>
  <si>
    <t>Sri Murniati</t>
  </si>
  <si>
    <t>Ardan Syahputra</t>
  </si>
  <si>
    <t>Ayu Puspita Sari</t>
  </si>
  <si>
    <t>Alimin</t>
  </si>
  <si>
    <t>Sunarsih</t>
  </si>
  <si>
    <t>Suwarni</t>
  </si>
  <si>
    <t>Misriani</t>
  </si>
  <si>
    <t>Syaiful</t>
  </si>
  <si>
    <t>Lenny Widya</t>
  </si>
  <si>
    <t>Ermayudi</t>
  </si>
  <si>
    <t>Nurlela</t>
  </si>
  <si>
    <t>D4/S1</t>
  </si>
  <si>
    <t>Ngadiman</t>
  </si>
  <si>
    <t>Ratna</t>
  </si>
  <si>
    <t>Tri Bowo Setiawan</t>
  </si>
  <si>
    <t>Yuliana Dewi</t>
  </si>
  <si>
    <t>Veri Robby</t>
  </si>
  <si>
    <t>Yeti Eriawati</t>
  </si>
  <si>
    <t>Darwin</t>
  </si>
  <si>
    <t>Mardiana</t>
  </si>
  <si>
    <t>Paidin</t>
  </si>
  <si>
    <t>Mainem</t>
  </si>
  <si>
    <t>Siti Ratna</t>
  </si>
  <si>
    <t>Edy Syahputra</t>
  </si>
  <si>
    <t>Paikem</t>
  </si>
  <si>
    <t>Syahputra</t>
  </si>
  <si>
    <t>Sri Nurliani</t>
  </si>
  <si>
    <t>Pandu Tri Afdillah</t>
  </si>
  <si>
    <t>Dewi Winari</t>
  </si>
  <si>
    <t>Fauzi Syahputra</t>
  </si>
  <si>
    <t>Mariamah</t>
  </si>
  <si>
    <t>MCK komunal</t>
  </si>
  <si>
    <t>Kulkas,Hp,AC</t>
  </si>
  <si>
    <t>Rini Fitriani</t>
  </si>
  <si>
    <t>Oktomar Nasution</t>
  </si>
  <si>
    <t>Jalius</t>
  </si>
  <si>
    <t>Sudarmi</t>
  </si>
  <si>
    <t>Usman Effendi</t>
  </si>
  <si>
    <t>Samira</t>
  </si>
  <si>
    <t>Eka Syahrizal</t>
  </si>
  <si>
    <t xml:space="preserve">Kulkas,Hp </t>
  </si>
  <si>
    <t>Asmawati</t>
  </si>
  <si>
    <t>Kulkas,Hp</t>
  </si>
  <si>
    <t>Kusno</t>
  </si>
  <si>
    <t>Suikim</t>
  </si>
  <si>
    <t>Peni</t>
  </si>
  <si>
    <t>Mariana</t>
  </si>
  <si>
    <t>Junedi Bangun</t>
  </si>
  <si>
    <t>PNS/TNI/Polri/BUMN/BUMD/Anggota Legislatif</t>
  </si>
  <si>
    <t>Astuti</t>
  </si>
  <si>
    <t>Misno T</t>
  </si>
  <si>
    <t>Ngasri</t>
  </si>
  <si>
    <t>Ponidah</t>
  </si>
  <si>
    <t>Sri Wahyuni</t>
  </si>
  <si>
    <t>Panji Indra Kumala</t>
  </si>
  <si>
    <t>Anita Permata</t>
  </si>
  <si>
    <t>Rubini</t>
  </si>
  <si>
    <t>Suwono</t>
  </si>
  <si>
    <t>Zuriati</t>
  </si>
  <si>
    <t>Junaidi</t>
  </si>
  <si>
    <t>Nawi</t>
  </si>
  <si>
    <t>Nurasma</t>
  </si>
  <si>
    <t>Maijen</t>
  </si>
  <si>
    <t>Sujini</t>
  </si>
  <si>
    <t>Agus Sukma</t>
  </si>
  <si>
    <t>Aulia Saragih</t>
  </si>
  <si>
    <t>Dahriani</t>
  </si>
  <si>
    <t>Ateng Turiman</t>
  </si>
  <si>
    <t>Rani Simanjuntak</t>
  </si>
  <si>
    <t>Susiani</t>
  </si>
  <si>
    <t>Hp, Tv</t>
  </si>
  <si>
    <t>Aswad Gunawan</t>
  </si>
  <si>
    <t>Indah Paulani</t>
  </si>
  <si>
    <t>Arun Aldurazak</t>
  </si>
  <si>
    <t>Herlina</t>
  </si>
  <si>
    <t>Misnem</t>
  </si>
  <si>
    <t>Sadeli</t>
  </si>
  <si>
    <t>Supiyani</t>
  </si>
  <si>
    <t>Asmah Manurung</t>
  </si>
  <si>
    <t>Budi</t>
  </si>
  <si>
    <t>Tika Wiranti</t>
  </si>
  <si>
    <t>Juniarsih</t>
  </si>
  <si>
    <t>Muhammad Hanafi</t>
  </si>
  <si>
    <t>Sri Juniva</t>
  </si>
  <si>
    <t>Ranto</t>
  </si>
  <si>
    <t>Hernawati</t>
  </si>
  <si>
    <t>Rafii</t>
  </si>
  <si>
    <t>Widia Sari</t>
  </si>
  <si>
    <t>Dwi Lestari</t>
  </si>
  <si>
    <t>Nur'aidi</t>
  </si>
  <si>
    <t>Sri Baniah</t>
  </si>
  <si>
    <t>Rohaman</t>
  </si>
  <si>
    <t>Ika Wulandari</t>
  </si>
  <si>
    <t>Supiono Damanaik</t>
  </si>
  <si>
    <t>Motor, Mobil</t>
  </si>
  <si>
    <t>Nurmiati</t>
  </si>
  <si>
    <t>Yudi</t>
  </si>
  <si>
    <t>Kulkas, Komputer, Hp, AC</t>
  </si>
  <si>
    <t>Murniati</t>
  </si>
  <si>
    <t>Sukisniwati</t>
  </si>
  <si>
    <t>Umar Yusuf</t>
  </si>
  <si>
    <t>Yuyun</t>
  </si>
  <si>
    <t>Keromo Karso</t>
  </si>
  <si>
    <t>Maria</t>
  </si>
  <si>
    <t>Yetty</t>
  </si>
  <si>
    <t>Rudi</t>
  </si>
  <si>
    <t>Suria Ningsih</t>
  </si>
  <si>
    <t>Riyan Syahputra</t>
  </si>
  <si>
    <t>Kulkas, HP, Tv</t>
  </si>
  <si>
    <t>Debby Shintia</t>
  </si>
  <si>
    <t>Nena Erviana</t>
  </si>
  <si>
    <t>Salmiah</t>
  </si>
  <si>
    <t>Mislani</t>
  </si>
  <si>
    <t>Juarma</t>
  </si>
  <si>
    <t>Ayu Andhika</t>
  </si>
  <si>
    <t>Kiki Fadila</t>
  </si>
  <si>
    <t>Riski Pratiwi</t>
  </si>
  <si>
    <t>Syaiful Rahmadi</t>
  </si>
  <si>
    <t>Susiliana</t>
  </si>
  <si>
    <t>Johan</t>
  </si>
  <si>
    <t>Tukinem</t>
  </si>
  <si>
    <t>Andika</t>
  </si>
  <si>
    <t>Siti Ningsi</t>
  </si>
  <si>
    <t>Jurahman</t>
  </si>
  <si>
    <t>Boinah</t>
  </si>
  <si>
    <t>Hajijah</t>
  </si>
  <si>
    <t>Semi</t>
  </si>
  <si>
    <t>Diki Pratama</t>
  </si>
  <si>
    <t>Sinta Belia</t>
  </si>
  <si>
    <t>Beni</t>
  </si>
  <si>
    <t>Liya Anggraini</t>
  </si>
  <si>
    <t>Alamsyah</t>
  </si>
  <si>
    <t>Sarmiatik</t>
  </si>
  <si>
    <t>Fazal Azli</t>
  </si>
  <si>
    <t>Wilda Anisa</t>
  </si>
  <si>
    <t>Rudianto Sinaga</t>
  </si>
  <si>
    <t>Rohayani</t>
  </si>
  <si>
    <t>Habsah</t>
  </si>
  <si>
    <t>Sandy Lesmana</t>
  </si>
  <si>
    <t>Kiki Elfa</t>
  </si>
  <si>
    <t>Herianto</t>
  </si>
  <si>
    <t>Samijem</t>
  </si>
  <si>
    <t>Sidik</t>
  </si>
  <si>
    <t>Lasiyem</t>
  </si>
  <si>
    <t>Maisarah Juliani</t>
  </si>
  <si>
    <t>Maimunah</t>
  </si>
  <si>
    <t>Mulyani</t>
  </si>
  <si>
    <t>Joko Manis</t>
  </si>
  <si>
    <t>Supriani</t>
  </si>
  <si>
    <t>Sri Hastuti</t>
  </si>
  <si>
    <t>Isminah</t>
  </si>
  <si>
    <t>Rudy Setiawan Surbakti</t>
  </si>
  <si>
    <t>Niky Rezeki</t>
  </si>
  <si>
    <t>Muhammad Maulana</t>
  </si>
  <si>
    <t>Santi</t>
  </si>
  <si>
    <t>Sukamdi</t>
  </si>
  <si>
    <t>Sri Lestari</t>
  </si>
  <si>
    <t>Widodo</t>
  </si>
  <si>
    <t>Nasrudin</t>
  </si>
  <si>
    <t>Rumini</t>
  </si>
  <si>
    <t>Suamin</t>
  </si>
  <si>
    <t>Ngatiman Husni</t>
  </si>
  <si>
    <t>Jumirah</t>
  </si>
  <si>
    <t>Supiana</t>
  </si>
  <si>
    <t>Budiono</t>
  </si>
  <si>
    <t>Murtini</t>
  </si>
  <si>
    <t>Armidah</t>
  </si>
  <si>
    <t>Edi Syahputra</t>
  </si>
  <si>
    <t>Supriatik</t>
  </si>
  <si>
    <t>Yusnita</t>
  </si>
  <si>
    <t>Sawal</t>
  </si>
  <si>
    <t>Rusna</t>
  </si>
  <si>
    <t>Musiyem</t>
  </si>
  <si>
    <t>Suyanto</t>
  </si>
  <si>
    <t>Rindi Sekar</t>
  </si>
  <si>
    <t>Heriadi</t>
  </si>
  <si>
    <t>Sukilah</t>
  </si>
  <si>
    <t>Sakem</t>
  </si>
  <si>
    <t>Suyono</t>
  </si>
  <si>
    <t>Tri Kusuma Mesrawati</t>
  </si>
  <si>
    <t>Ana Anggara</t>
  </si>
  <si>
    <t>Sugeng</t>
  </si>
  <si>
    <t>Siti Sarifah</t>
  </si>
  <si>
    <t>Maliki</t>
  </si>
  <si>
    <t>Poniran III</t>
  </si>
  <si>
    <t>Nuriani</t>
  </si>
  <si>
    <t>Aslinda</t>
  </si>
  <si>
    <t>Ariani</t>
  </si>
  <si>
    <t>Sutardi</t>
  </si>
  <si>
    <t>Wagirah</t>
  </si>
  <si>
    <t>Suhaini</t>
  </si>
  <si>
    <t>Julianto</t>
  </si>
  <si>
    <t>Winda Agustina</t>
  </si>
  <si>
    <t>Lamhot Alamsyah</t>
  </si>
  <si>
    <t>Lestari</t>
  </si>
  <si>
    <t>S2</t>
  </si>
  <si>
    <t>Kamidi</t>
  </si>
  <si>
    <t>Ramli</t>
  </si>
  <si>
    <t>Heri Yusna</t>
  </si>
  <si>
    <t>Ibnu Lisa Siregar</t>
  </si>
  <si>
    <t>Nur Rafika</t>
  </si>
  <si>
    <t>Siti Mariyani</t>
  </si>
  <si>
    <t>Asmah</t>
  </si>
  <si>
    <t>Sitriani</t>
  </si>
  <si>
    <t>Arpan</t>
  </si>
  <si>
    <t>Sunarmi</t>
  </si>
  <si>
    <t>Boiran</t>
  </si>
  <si>
    <t>Indah Rahayu</t>
  </si>
  <si>
    <t>Ariadi</t>
  </si>
  <si>
    <t>Ariatik</t>
  </si>
  <si>
    <t>M. Said</t>
  </si>
  <si>
    <t>Ngatiem</t>
  </si>
  <si>
    <t>Konda Tori</t>
  </si>
  <si>
    <t>Nurhayati</t>
  </si>
  <si>
    <t>Erwin Saputra</t>
  </si>
  <si>
    <t>Nur Ningsih</t>
  </si>
  <si>
    <t>Toimin</t>
  </si>
  <si>
    <t>Sami</t>
  </si>
  <si>
    <t>Napsiah</t>
  </si>
  <si>
    <t>Eko Gunawan</t>
  </si>
  <si>
    <t>Yesy Mulia Sari</t>
  </si>
  <si>
    <t>Dicky Erwindo</t>
  </si>
  <si>
    <t>Zunita</t>
  </si>
  <si>
    <t>Bambang Setiawadi</t>
  </si>
  <si>
    <t>Tugino</t>
  </si>
  <si>
    <t>Ryan Iskandar</t>
  </si>
  <si>
    <t>Ariawati</t>
  </si>
  <si>
    <t>Lugito</t>
  </si>
  <si>
    <t>Devi Lestari</t>
  </si>
  <si>
    <t>Susanti</t>
  </si>
  <si>
    <t>Edi Sumarsono</t>
  </si>
  <si>
    <t>Arwanto</t>
  </si>
  <si>
    <t>Sukerni</t>
  </si>
  <si>
    <t>Markilah</t>
  </si>
  <si>
    <t>Suherman</t>
  </si>
  <si>
    <t>Nurainun</t>
  </si>
  <si>
    <t>Ramadhan Hariadi</t>
  </si>
  <si>
    <t>Miftahul Jannah</t>
  </si>
  <si>
    <t>Juarsih</t>
  </si>
  <si>
    <t>Ikan Manda Sari</t>
  </si>
  <si>
    <t>Poniran</t>
  </si>
  <si>
    <t>Leginem</t>
  </si>
  <si>
    <t>Kasinah</t>
  </si>
  <si>
    <t>Bambang Sujarsono</t>
  </si>
  <si>
    <t>Yusyani</t>
  </si>
  <si>
    <t>Yoserizal</t>
  </si>
  <si>
    <t>Heri Wijaya</t>
  </si>
  <si>
    <t>Nurliyana</t>
  </si>
  <si>
    <t>Zulkarnain</t>
  </si>
  <si>
    <t>Kulter. M. Simatupang</t>
  </si>
  <si>
    <t>Sry Wahyuni</t>
  </si>
  <si>
    <t>Nazli Asnawi</t>
  </si>
  <si>
    <t>Kuklas, Hp, AC</t>
  </si>
  <si>
    <t>Siti Aisyah</t>
  </si>
  <si>
    <t>Bariyah</t>
  </si>
  <si>
    <t>Agung Sapto Prayoga</t>
  </si>
  <si>
    <t>Rindi Ani</t>
  </si>
  <si>
    <t>Paini</t>
  </si>
  <si>
    <t>Supangat</t>
  </si>
  <si>
    <t>Asnah</t>
  </si>
  <si>
    <t>Sri Siti Utami</t>
  </si>
  <si>
    <t>Rahmanto</t>
  </si>
  <si>
    <t>Nurhasanah</t>
  </si>
  <si>
    <t>Tukino</t>
  </si>
  <si>
    <t>Krisnawati</t>
  </si>
  <si>
    <t>Saikun</t>
  </si>
  <si>
    <t>Lailatilawati</t>
  </si>
  <si>
    <t>Hazmi Anggara</t>
  </si>
  <si>
    <t>Mega Lestari</t>
  </si>
  <si>
    <t>Elvina Sari</t>
  </si>
  <si>
    <t>Hastuti</t>
  </si>
  <si>
    <t>Bilman Sari</t>
  </si>
  <si>
    <t>Fitri Mailan</t>
  </si>
  <si>
    <t>Umur</t>
  </si>
  <si>
    <t>Jumlah Aset Tidak Bergerak</t>
  </si>
  <si>
    <t>Jumlah Tanggungan</t>
  </si>
  <si>
    <t>Status Kepemilikan Rumah</t>
  </si>
  <si>
    <t>Jenis Dinding</t>
  </si>
  <si>
    <t>NIK</t>
  </si>
  <si>
    <t>1275030111050010</t>
  </si>
  <si>
    <t>1275822409090400</t>
  </si>
  <si>
    <t>1275050912040020</t>
  </si>
  <si>
    <t>1275082208020030</t>
  </si>
  <si>
    <t>1275010203110401</t>
  </si>
  <si>
    <t>1275012611070402</t>
  </si>
  <si>
    <t>1275011505090403</t>
  </si>
  <si>
    <t>1275013008120404</t>
  </si>
  <si>
    <t>1275010412030405</t>
  </si>
  <si>
    <t>1275022209090406</t>
  </si>
  <si>
    <t>1275020711100407</t>
  </si>
  <si>
    <t>1275023110080408</t>
  </si>
  <si>
    <t>1275021201050409</t>
  </si>
  <si>
    <t>1275022904100410</t>
  </si>
  <si>
    <t>1275030111020411</t>
  </si>
  <si>
    <t>1275032306110412</t>
  </si>
  <si>
    <t>1275031002080413</t>
  </si>
  <si>
    <t>1275031709100414</t>
  </si>
  <si>
    <t>1275032804030415</t>
  </si>
  <si>
    <t>1275040512050416</t>
  </si>
  <si>
    <t>1275041905110417</t>
  </si>
  <si>
    <t>1275043006020418</t>
  </si>
  <si>
    <t>1275040107070419</t>
  </si>
  <si>
    <t>1275042711120420</t>
  </si>
  <si>
    <t>1275050203120421</t>
  </si>
  <si>
    <t>1275051511050422</t>
  </si>
  <si>
    <t>1275050809040423</t>
  </si>
  <si>
    <t>1275052311100424</t>
  </si>
  <si>
    <t>1275053102060425</t>
  </si>
  <si>
    <t>1275060210030426</t>
  </si>
  <si>
    <t>1275061805120427</t>
  </si>
  <si>
    <t>1275060910120428</t>
  </si>
  <si>
    <t>1275062404050429</t>
  </si>
  <si>
    <t>1275061403030430</t>
  </si>
  <si>
    <t>1275071112110431</t>
  </si>
  <si>
    <t>1275073008050432</t>
  </si>
  <si>
    <t>1275070405070433</t>
  </si>
  <si>
    <t>1275072707120434</t>
  </si>
  <si>
    <t>1275070910030435</t>
  </si>
  <si>
    <t>1275082107100436</t>
  </si>
  <si>
    <t>1275080311130437</t>
  </si>
  <si>
    <t>1275082808090438</t>
  </si>
  <si>
    <t>1275081503010439</t>
  </si>
  <si>
    <t>1275080610090440</t>
  </si>
  <si>
    <t>1275092904060441</t>
  </si>
  <si>
    <t>1275090505120442</t>
  </si>
  <si>
    <t>1275092009070443</t>
  </si>
  <si>
    <t>1275091102040444</t>
  </si>
  <si>
    <t>1275093001080445</t>
  </si>
  <si>
    <t>1275100810020446</t>
  </si>
  <si>
    <t>1275102205050447</t>
  </si>
  <si>
    <t>1275100711080448</t>
  </si>
  <si>
    <t>1275102606110449</t>
  </si>
  <si>
    <t>1275100202100450</t>
  </si>
  <si>
    <t>1275111710060451</t>
  </si>
  <si>
    <t>1275110601110452</t>
  </si>
  <si>
    <t>1275112905120453</t>
  </si>
  <si>
    <t>1275110411080454</t>
  </si>
  <si>
    <t>1275112007040455</t>
  </si>
  <si>
    <t>1275120909080456</t>
  </si>
  <si>
    <t>1275123107120457</t>
  </si>
  <si>
    <t>1275121509020458</t>
  </si>
  <si>
    <t>1275120202060459</t>
  </si>
  <si>
    <t>1275122411090460</t>
  </si>
  <si>
    <t>1275131111110461</t>
  </si>
  <si>
    <t>1275130503070462</t>
  </si>
  <si>
    <t>1275132807090463</t>
  </si>
  <si>
    <t>1275131010120464</t>
  </si>
  <si>
    <t>1275133005040465</t>
  </si>
  <si>
    <t>1275140212040466</t>
  </si>
  <si>
    <t>1275141510090467</t>
  </si>
  <si>
    <t>1275140710070468</t>
  </si>
  <si>
    <t>1275142510030469</t>
  </si>
  <si>
    <t>1275143109080470</t>
  </si>
  <si>
    <t>1275151003090471</t>
  </si>
  <si>
    <t>1275152302120472</t>
  </si>
  <si>
    <t>1275150711070473</t>
  </si>
  <si>
    <t>1275153010110474</t>
  </si>
  <si>
    <t>1275151907070475</t>
  </si>
  <si>
    <t>1275160406050476</t>
  </si>
  <si>
    <t>1275162812080477</t>
  </si>
  <si>
    <t>1275160904100478</t>
  </si>
  <si>
    <t>1275163106080479</t>
  </si>
  <si>
    <t>1275161010030480</t>
  </si>
  <si>
    <t>1275172303070481</t>
  </si>
  <si>
    <t>1275171211020482</t>
  </si>
  <si>
    <t>1275170109010483</t>
  </si>
  <si>
    <t>1275172807070484</t>
  </si>
  <si>
    <t>1275170712110485</t>
  </si>
  <si>
    <t>1275180511090486</t>
  </si>
  <si>
    <t>1275182110100487</t>
  </si>
  <si>
    <t>1275180804080488</t>
  </si>
  <si>
    <t>1275183003120489</t>
  </si>
  <si>
    <t>1275181006060490</t>
  </si>
  <si>
    <t>1275192904070491</t>
  </si>
  <si>
    <t>1275190411010492</t>
  </si>
  <si>
    <t>1275192309100493</t>
  </si>
  <si>
    <t>1275191501110494</t>
  </si>
  <si>
    <t>1275190707050495</t>
  </si>
  <si>
    <t>1275201211060496</t>
  </si>
  <si>
    <t>1275202912070497</t>
  </si>
  <si>
    <t>1275200405100498</t>
  </si>
  <si>
    <t>1275202005080499</t>
  </si>
  <si>
    <t>1275200110090500</t>
  </si>
  <si>
    <t>1275211812020501</t>
  </si>
  <si>
    <t>1275210506070502</t>
  </si>
  <si>
    <t>1275213003090503</t>
  </si>
  <si>
    <t>1275211411120504</t>
  </si>
  <si>
    <t>1275210209040505</t>
  </si>
  <si>
    <t>1275222505070506</t>
  </si>
  <si>
    <t>1275220911040507</t>
  </si>
  <si>
    <t>1275223112120508</t>
  </si>
  <si>
    <t>1275220206060509</t>
  </si>
  <si>
    <t>1275221707040510</t>
  </si>
  <si>
    <t>1275231210010511</t>
  </si>
  <si>
    <t>1275233008020512</t>
  </si>
  <si>
    <t>1275230612110513</t>
  </si>
  <si>
    <t>1275231511080514</t>
  </si>
  <si>
    <t>1275232505060515</t>
  </si>
  <si>
    <t>1275240712070516</t>
  </si>
  <si>
    <t>1275242904050517</t>
  </si>
  <si>
    <t>1275240502100518</t>
  </si>
  <si>
    <t>1275241611090519</t>
  </si>
  <si>
    <t>1275243108100520</t>
  </si>
  <si>
    <t>1275250309060521</t>
  </si>
  <si>
    <t>1275252212070522</t>
  </si>
  <si>
    <t>1275250808090523</t>
  </si>
  <si>
    <t>1275252901030524</t>
  </si>
  <si>
    <t>1275251404040525</t>
  </si>
  <si>
    <t>1275261107100526</t>
  </si>
  <si>
    <t>1275260411080527</t>
  </si>
  <si>
    <t>1275263106040528</t>
  </si>
  <si>
    <t>1275261209020529</t>
  </si>
  <si>
    <t>1275262012070530</t>
  </si>
  <si>
    <t>1275270503120531</t>
  </si>
  <si>
    <t>1275272610030532</t>
  </si>
  <si>
    <t>1275271808120533</t>
  </si>
  <si>
    <t>1275270310110534</t>
  </si>
  <si>
    <t>1275272908050535</t>
  </si>
  <si>
    <t>1275280902100536</t>
  </si>
  <si>
    <t>1275282711120537</t>
  </si>
  <si>
    <t>1275280411030538</t>
  </si>
  <si>
    <t>1275281507020539</t>
  </si>
  <si>
    <t>1275282209100540</t>
  </si>
  <si>
    <t>1275290708050541</t>
  </si>
  <si>
    <t>1275291904020542</t>
  </si>
  <si>
    <t>1275293110060543</t>
  </si>
  <si>
    <t>1275291203090544</t>
  </si>
  <si>
    <t>1275290208100545</t>
  </si>
  <si>
    <t>1275301512030546</t>
  </si>
  <si>
    <t>1275300310080547</t>
  </si>
  <si>
    <t>1275302807060548</t>
  </si>
  <si>
    <t>1275301109040549</t>
  </si>
  <si>
    <t>1275302605120550</t>
  </si>
  <si>
    <t>1275312105080551</t>
  </si>
  <si>
    <t>1275310811110552</t>
  </si>
  <si>
    <t>1275313009020553</t>
  </si>
  <si>
    <t>1275310410060554</t>
  </si>
  <si>
    <t>1275311708090555</t>
  </si>
  <si>
    <t>1275321002080556</t>
  </si>
  <si>
    <t>1275322505120557</t>
  </si>
  <si>
    <t>1275320912110558</t>
  </si>
  <si>
    <t>1275323010040559</t>
  </si>
  <si>
    <t>1275321411100560</t>
  </si>
  <si>
    <t>1275330210080561</t>
  </si>
  <si>
    <t>1275332004050562</t>
  </si>
  <si>
    <t>1275333111090563</t>
  </si>
  <si>
    <t>1275330807090564</t>
  </si>
  <si>
    <t>1275332610120565</t>
  </si>
  <si>
    <t>1275341108020566</t>
  </si>
  <si>
    <t>1275340412050567</t>
  </si>
  <si>
    <t>1275342805010568</t>
  </si>
  <si>
    <t>1275341503040569</t>
  </si>
  <si>
    <t>1275340711120570</t>
  </si>
  <si>
    <t>1275350411080571</t>
  </si>
  <si>
    <t>1275353111030572</t>
  </si>
  <si>
    <t>1275351208030573</t>
  </si>
  <si>
    <t>1275350604060574</t>
  </si>
  <si>
    <t>1275352009120575</t>
  </si>
  <si>
    <t>1275362305110576</t>
  </si>
  <si>
    <t>1275360502050577</t>
  </si>
  <si>
    <t>1275361409030578</t>
  </si>
  <si>
    <t>1275363102100579</t>
  </si>
  <si>
    <t>1275361906120580</t>
  </si>
  <si>
    <t>1275370801110581</t>
  </si>
  <si>
    <t>1275372108050582</t>
  </si>
  <si>
    <t>1275370312100583</t>
  </si>
  <si>
    <t>1275372810060584</t>
  </si>
  <si>
    <t>1275371005060585</t>
  </si>
  <si>
    <t>1275383002050586</t>
  </si>
  <si>
    <t>1275380410090587</t>
  </si>
  <si>
    <t>1275382211080588</t>
  </si>
  <si>
    <t>1275381310100589</t>
  </si>
  <si>
    <t>1275380710110590</t>
  </si>
  <si>
    <t>1275391605070591</t>
  </si>
  <si>
    <t>1275390210120592</t>
  </si>
  <si>
    <t>1275392810090593</t>
  </si>
  <si>
    <t>1275391110050594</t>
  </si>
  <si>
    <t>1275392510030595</t>
  </si>
  <si>
    <t>1275401202110596</t>
  </si>
  <si>
    <t>1275400309020597</t>
  </si>
  <si>
    <t>1275402407020598</t>
  </si>
  <si>
    <t>1275400611120599</t>
  </si>
  <si>
    <t>1275402904100600</t>
  </si>
  <si>
    <t>1275411411040601</t>
  </si>
  <si>
    <t>1275410212100602</t>
  </si>
  <si>
    <t>1275413105080603</t>
  </si>
  <si>
    <t>1275410803050604</t>
  </si>
  <si>
    <t>1275412207110605</t>
  </si>
  <si>
    <t>1275421108040606</t>
  </si>
  <si>
    <t>1275422701120607</t>
  </si>
  <si>
    <t>1275420511050608</t>
  </si>
  <si>
    <t>1275422012100609</t>
  </si>
  <si>
    <t>1275420906010610</t>
  </si>
  <si>
    <t>1275432811110611</t>
  </si>
  <si>
    <t>1275430310090612</t>
  </si>
  <si>
    <t>1275431508090613</t>
  </si>
  <si>
    <t>1275430712110614</t>
  </si>
  <si>
    <t>1275432211050615</t>
  </si>
  <si>
    <t>1275440409050616</t>
  </si>
  <si>
    <t>1275442908040617</t>
  </si>
  <si>
    <t>1275441010060618</t>
  </si>
  <si>
    <t>1275442501110619</t>
  </si>
  <si>
    <t>1275440710080620</t>
  </si>
  <si>
    <t>1275451805100621</t>
  </si>
  <si>
    <t>1275450212110622</t>
  </si>
  <si>
    <t>1275453106100623</t>
  </si>
  <si>
    <t>1275450912060624</t>
  </si>
  <si>
    <t>1275452011080625</t>
  </si>
  <si>
    <t>1275461303070626</t>
  </si>
  <si>
    <t>1275460609050627</t>
  </si>
  <si>
    <t>1275462810120628</t>
  </si>
  <si>
    <t>1275461102050629</t>
  </si>
  <si>
    <t>1275462007100630</t>
  </si>
  <si>
    <t>1275470202090631</t>
  </si>
  <si>
    <t>1275473005120632</t>
  </si>
  <si>
    <t>1275470910100633</t>
  </si>
  <si>
    <t>1275471808070634</t>
  </si>
  <si>
    <t>1275470506060635</t>
  </si>
  <si>
    <t>1275481205040636</t>
  </si>
  <si>
    <t>1275482910030637</t>
  </si>
  <si>
    <t>1275480202090638</t>
  </si>
  <si>
    <t>1275482110070639</t>
  </si>
  <si>
    <t>1275480703120640</t>
  </si>
  <si>
    <t>1275490311070641</t>
  </si>
  <si>
    <t>1275491909050642</t>
  </si>
  <si>
    <t>1275492210060643</t>
  </si>
  <si>
    <t>1275491008070644</t>
  </si>
  <si>
    <t>1275492804090645</t>
  </si>
  <si>
    <t>1275501410120646</t>
  </si>
  <si>
    <t>1275500204060647</t>
  </si>
  <si>
    <t>1275503110090648</t>
  </si>
  <si>
    <t>1275500912090649</t>
  </si>
  <si>
    <t>1275502310030650</t>
  </si>
  <si>
    <t>1275511110040651</t>
  </si>
  <si>
    <t>1275512409110652</t>
  </si>
  <si>
    <t>1275510305100653</t>
  </si>
  <si>
    <t>1275511206080654</t>
  </si>
  <si>
    <t>1275513007010655</t>
  </si>
  <si>
    <t>1275520902020656</t>
  </si>
  <si>
    <t>1275522708040657</t>
  </si>
  <si>
    <t>1275521006110658</t>
  </si>
  <si>
    <t>1275520101050659</t>
  </si>
  <si>
    <t>1275523109100660</t>
  </si>
  <si>
    <t>1275530510110661</t>
  </si>
  <si>
    <t>1275532110060662</t>
  </si>
  <si>
    <t>1275530808020663</t>
  </si>
  <si>
    <t>1275532903120664</t>
  </si>
  <si>
    <t>1275531211050665</t>
  </si>
  <si>
    <t>1275540304010666</t>
  </si>
  <si>
    <t>1275542607030667</t>
  </si>
  <si>
    <t>1275541912100668</t>
  </si>
  <si>
    <t>1275540711080669</t>
  </si>
  <si>
    <t>1275542802050670</t>
  </si>
  <si>
    <t>1275551609080671</t>
  </si>
  <si>
    <t>1275550203040672</t>
  </si>
  <si>
    <t>1275552310020673</t>
  </si>
  <si>
    <t>1275550911120674</t>
  </si>
  <si>
    <t>1275553112050675</t>
  </si>
  <si>
    <t>1275561407100676</t>
  </si>
  <si>
    <t>1275563005110677</t>
  </si>
  <si>
    <t>1275560710030678</t>
  </si>
  <si>
    <t>1275562209060679</t>
  </si>
  <si>
    <t>1275560508040680</t>
  </si>
  <si>
    <t>1275571010100681</t>
  </si>
  <si>
    <t>1275572711070682</t>
  </si>
  <si>
    <t>1275570209030683</t>
  </si>
  <si>
    <t>1275571608040684</t>
  </si>
  <si>
    <t>1275573103090685</t>
  </si>
  <si>
    <t>1275581404100686</t>
  </si>
  <si>
    <t>1275582907050687</t>
  </si>
  <si>
    <t>1275580806020688</t>
  </si>
  <si>
    <t>1275582010120689</t>
  </si>
  <si>
    <t>1275580701120690</t>
  </si>
  <si>
    <t>1275590210090691</t>
  </si>
  <si>
    <t>1275593007040692</t>
  </si>
  <si>
    <t>1275591411120693</t>
  </si>
  <si>
    <t>1275592104010694</t>
  </si>
  <si>
    <t>1275590509100695</t>
  </si>
  <si>
    <t>1275601211100696</t>
  </si>
  <si>
    <t>1275600310060697</t>
  </si>
  <si>
    <t>1275602706110698</t>
  </si>
  <si>
    <t>1275601510030699</t>
  </si>
  <si>
    <t>1275600907050700</t>
  </si>
  <si>
    <t>1275610407060701</t>
  </si>
  <si>
    <t>1275611812030702</t>
  </si>
  <si>
    <t>1275610710070703</t>
  </si>
  <si>
    <t>1275613002050704</t>
  </si>
  <si>
    <t>1275611008080705</t>
  </si>
  <si>
    <t>1275622105070706</t>
  </si>
  <si>
    <t>1275620311080707</t>
  </si>
  <si>
    <t>1275622901110708</t>
  </si>
  <si>
    <t>1275621106020709</t>
  </si>
  <si>
    <t>1275622708060710</t>
  </si>
  <si>
    <t>1275630209030711</t>
  </si>
  <si>
    <t>1275631412100712</t>
  </si>
  <si>
    <t>1275630802090713</t>
  </si>
  <si>
    <t>1275632305040714</t>
  </si>
  <si>
    <t>1275631111050715</t>
  </si>
  <si>
    <t>1275640608070716</t>
  </si>
  <si>
    <t>1275642006120717</t>
  </si>
  <si>
    <t>1275641505040718</t>
  </si>
  <si>
    <t>1275643008090719</t>
  </si>
  <si>
    <t>1275640102090720</t>
  </si>
  <si>
    <t>1275651711040721</t>
  </si>
  <si>
    <t>1275650203020722</t>
  </si>
  <si>
    <t>1275652910090723</t>
  </si>
  <si>
    <t>1275011501020001</t>
  </si>
  <si>
    <t>1275012308050002</t>
  </si>
  <si>
    <t>1275010207030003</t>
  </si>
  <si>
    <t>1275013001040004</t>
  </si>
  <si>
    <t>1275010509120005</t>
  </si>
  <si>
    <t>1275021211050006</t>
  </si>
  <si>
    <t>1275023006080007</t>
  </si>
  <si>
    <t>1275020912020008</t>
  </si>
  <si>
    <t>1275022112010009</t>
  </si>
  <si>
    <t>1275032604040011</t>
  </si>
  <si>
    <t>1275031807110012</t>
  </si>
  <si>
    <t>1275030711040013</t>
  </si>
  <si>
    <t>1275041402050014</t>
  </si>
  <si>
    <t>1275041205060015</t>
  </si>
  <si>
    <t>1275043009090016</t>
  </si>
  <si>
    <t>1275040204100017</t>
  </si>
  <si>
    <t>1275050809090018</t>
  </si>
  <si>
    <t>1275052706030019</t>
  </si>
  <si>
    <t>1275062212020021</t>
  </si>
  <si>
    <t>1275061704100022</t>
  </si>
  <si>
    <t>1275060101070023</t>
  </si>
  <si>
    <t>1275062507090024</t>
  </si>
  <si>
    <t>1275060412010025</t>
  </si>
  <si>
    <t>1275070810080026</t>
  </si>
  <si>
    <t>1275072501050027</t>
  </si>
  <si>
    <t>1275071405040028</t>
  </si>
  <si>
    <t>1275071902100029</t>
  </si>
  <si>
    <t>1275080711060031</t>
  </si>
  <si>
    <t>1275082810030032</t>
  </si>
  <si>
    <t>1275081501040033</t>
  </si>
  <si>
    <t>1275092405050034</t>
  </si>
  <si>
    <t>1275091007080035</t>
  </si>
  <si>
    <t>1275090209040036</t>
  </si>
  <si>
    <t>1275093001100037</t>
  </si>
  <si>
    <t>1275090411120038</t>
  </si>
  <si>
    <t>1275101102090039</t>
  </si>
  <si>
    <t>1275102609070040</t>
  </si>
  <si>
    <t>1275101710020041</t>
  </si>
  <si>
    <t>1275102904040042</t>
  </si>
  <si>
    <t>1275100509060043</t>
  </si>
  <si>
    <t>1275113112050044</t>
  </si>
  <si>
    <t>1275110206090045</t>
  </si>
  <si>
    <t>1275110804030046</t>
  </si>
  <si>
    <t>1275112605110047</t>
  </si>
  <si>
    <t>1275111501040048</t>
  </si>
  <si>
    <t>1275120510110049</t>
  </si>
  <si>
    <t>1275123108030050</t>
  </si>
  <si>
    <t>1275122111120051</t>
  </si>
  <si>
    <t>1275120907090052</t>
  </si>
  <si>
    <t>1275122707030053</t>
  </si>
  <si>
    <t>1275131310080054</t>
  </si>
  <si>
    <t>1275132912060055</t>
  </si>
  <si>
    <t>1275130404070056</t>
  </si>
  <si>
    <t>1275132207100057</t>
  </si>
  <si>
    <t>1275130710030058</t>
  </si>
  <si>
    <t>1275142306090059</t>
  </si>
  <si>
    <t>1275141012040060</t>
  </si>
  <si>
    <t>1275143112060061</t>
  </si>
  <si>
    <t>1275140110030062</t>
  </si>
  <si>
    <t>1275140808090063</t>
  </si>
  <si>
    <t>1275152707100064</t>
  </si>
  <si>
    <t>1275151209020065</t>
  </si>
  <si>
    <t>1275152610110066</t>
  </si>
  <si>
    <t>1275150203080067</t>
  </si>
  <si>
    <t>1275151507050068</t>
  </si>
  <si>
    <t>1275161805090069</t>
  </si>
  <si>
    <t>1275161010020070</t>
  </si>
  <si>
    <t>1275160608080071</t>
  </si>
  <si>
    <t>1275162307070072</t>
  </si>
  <si>
    <t>1275160105120073</t>
  </si>
  <si>
    <t>1275170601100074</t>
  </si>
  <si>
    <t>1275172903090075</t>
  </si>
  <si>
    <t>1275172210120076</t>
  </si>
  <si>
    <t>1275171212040077</t>
  </si>
  <si>
    <t>1275170102090078</t>
  </si>
  <si>
    <t>1275182504110079</t>
  </si>
  <si>
    <t>1275180806030080</t>
  </si>
  <si>
    <t>1275183103100081</t>
  </si>
  <si>
    <t>1275181710040082</t>
  </si>
  <si>
    <t>1275180408010083</t>
  </si>
  <si>
    <t>1275191112090084</t>
  </si>
  <si>
    <t>1275192407100085</t>
  </si>
  <si>
    <t>1275190209080086</t>
  </si>
  <si>
    <t>1275192212050087</t>
  </si>
  <si>
    <t>1275190711030088</t>
  </si>
  <si>
    <t>1275202606010089</t>
  </si>
  <si>
    <t>1275200909120090</t>
  </si>
  <si>
    <t>1275200104040091</t>
  </si>
  <si>
    <t>1275203007090092</t>
  </si>
  <si>
    <t>1275201410070093</t>
  </si>
  <si>
    <t>1275211512100094</t>
  </si>
  <si>
    <t>1275210210100095</t>
  </si>
  <si>
    <t>1275212807040096</t>
  </si>
  <si>
    <t>1275210703080097</t>
  </si>
  <si>
    <t>1275212001090098</t>
  </si>
  <si>
    <t>1275221904040099</t>
  </si>
  <si>
    <t>1275222306080100</t>
  </si>
  <si>
    <t>1275221210120101</t>
  </si>
  <si>
    <t>1275220101060102</t>
  </si>
  <si>
    <t>1275223111060103</t>
  </si>
  <si>
    <t>1275230405040104</t>
  </si>
  <si>
    <t>1275233006070105</t>
  </si>
  <si>
    <t>1275230909120106</t>
  </si>
  <si>
    <t>1275232212040107</t>
  </si>
  <si>
    <t>1275230504040108</t>
  </si>
  <si>
    <t>1275240203100109</t>
  </si>
  <si>
    <t>1275242804070110</t>
  </si>
  <si>
    <t>1275241009060111</t>
  </si>
  <si>
    <t>1275240511120112</t>
  </si>
  <si>
    <t>1275242612060113</t>
  </si>
  <si>
    <t>1275251404090114</t>
  </si>
  <si>
    <t>1275250111060115</t>
  </si>
  <si>
    <t>1275253005090116</t>
  </si>
  <si>
    <t>1275251803010117</t>
  </si>
  <si>
    <t>1275250902100118</t>
  </si>
  <si>
    <t>1275262005080119</t>
  </si>
  <si>
    <t>1275260101070120</t>
  </si>
  <si>
    <t>1275262112050121</t>
  </si>
  <si>
    <t>1275260411110122</t>
  </si>
  <si>
    <t>1275263012080123</t>
  </si>
  <si>
    <t>1275270308070124</t>
  </si>
  <si>
    <t>1275271504100125</t>
  </si>
  <si>
    <t>1275272809080126</t>
  </si>
  <si>
    <t>1275270901120127</t>
  </si>
  <si>
    <t>1275272007060128</t>
  </si>
  <si>
    <t>1275282605080129</t>
  </si>
  <si>
    <t>1275280402120130</t>
  </si>
  <si>
    <t>1275281110110131</t>
  </si>
  <si>
    <t>1275282107100132</t>
  </si>
  <si>
    <t>1275280203030133</t>
  </si>
  <si>
    <t>1275292212090134</t>
  </si>
  <si>
    <t>1275290912040135</t>
  </si>
  <si>
    <t>1275290503010136</t>
  </si>
  <si>
    <t>1275293106120137</t>
  </si>
  <si>
    <t>1275291407040138</t>
  </si>
  <si>
    <t>1275302705010139</t>
  </si>
  <si>
    <t>1275300109060140</t>
  </si>
  <si>
    <t>1275300802110141</t>
  </si>
  <si>
    <t>1275302507120142</t>
  </si>
  <si>
    <t>1275301712020143</t>
  </si>
  <si>
    <t>1275310208010144</t>
  </si>
  <si>
    <t>1275311411090145</t>
  </si>
  <si>
    <t>1275313001050146</t>
  </si>
  <si>
    <t>1275310903100147</t>
  </si>
  <si>
    <t>1275312311120148</t>
  </si>
  <si>
    <t>1275320506120149</t>
  </si>
  <si>
    <t>1275322111100150</t>
  </si>
  <si>
    <t>1275320312010151</t>
  </si>
  <si>
    <t>1275322910090152</t>
  </si>
  <si>
    <t>1275321212070153</t>
  </si>
  <si>
    <t>1275330711020154</t>
  </si>
  <si>
    <t>1275332805090155</t>
  </si>
  <si>
    <t>1275331512100156</t>
  </si>
  <si>
    <t>1275330108080157</t>
  </si>
  <si>
    <t>1275332203070158</t>
  </si>
  <si>
    <t>1275342603110159</t>
  </si>
  <si>
    <t>1275341101090160</t>
  </si>
  <si>
    <t>1275340710120161</t>
  </si>
  <si>
    <t>1275341809040162</t>
  </si>
  <si>
    <t>1275343010080163</t>
  </si>
  <si>
    <t>1275350411090164</t>
  </si>
  <si>
    <t>1275352305110165</t>
  </si>
  <si>
    <t>1275350903050166</t>
  </si>
  <si>
    <t>1275351210040167</t>
  </si>
  <si>
    <t>1275353103070168</t>
  </si>
  <si>
    <t>1275362011090169</t>
  </si>
  <si>
    <t>1275360502100170</t>
  </si>
  <si>
    <t>1275362207070171</t>
  </si>
  <si>
    <t>1275363006100172</t>
  </si>
  <si>
    <t>1275360210080173</t>
  </si>
  <si>
    <t>1275371410030174</t>
  </si>
  <si>
    <t>1275372801120175</t>
  </si>
  <si>
    <t>1275370710060176</t>
  </si>
  <si>
    <t>1275371903120177</t>
  </si>
  <si>
    <t>1275370309090178</t>
  </si>
  <si>
    <t>1275382912120179</t>
  </si>
  <si>
    <t>1275380511080180</t>
  </si>
  <si>
    <t>1275381611100181</t>
  </si>
  <si>
    <t>1275380107100182</t>
  </si>
  <si>
    <t>1275382403100183</t>
  </si>
  <si>
    <t>1275391203040184</t>
  </si>
  <si>
    <t>1275392706090185</t>
  </si>
  <si>
    <t>1275390905120186</t>
  </si>
  <si>
    <t>1275390109020187</t>
  </si>
  <si>
    <t>1275393012040188</t>
  </si>
  <si>
    <t>1275400610120189</t>
  </si>
  <si>
    <t>1275402007110190</t>
  </si>
  <si>
    <t>1275401211060191</t>
  </si>
  <si>
    <t>1275400912040192</t>
  </si>
  <si>
    <t>1275403108050193</t>
  </si>
  <si>
    <t>1275410309070194</t>
  </si>
  <si>
    <t>1275411911040195</t>
  </si>
  <si>
    <t>1275412707040196</t>
  </si>
  <si>
    <t>1275410201080197</t>
  </si>
  <si>
    <t>1275412502110198</t>
  </si>
  <si>
    <t>1275422606110199</t>
  </si>
  <si>
    <t>1275421211020200</t>
  </si>
  <si>
    <t>1275420503060201</t>
  </si>
  <si>
    <t>1275423105080202</t>
  </si>
  <si>
    <t>1275420901110203</t>
  </si>
  <si>
    <t>1275431410120204</t>
  </si>
  <si>
    <t>1275432811090205</t>
  </si>
  <si>
    <t>1275430305030206</t>
  </si>
  <si>
    <t>1275432212030207</t>
  </si>
  <si>
    <t>1275431106120208</t>
  </si>
  <si>
    <t>1275440405110209</t>
  </si>
  <si>
    <t>1275442509090210</t>
  </si>
  <si>
    <t>1275441007040211</t>
  </si>
  <si>
    <t>1275443103100212</t>
  </si>
  <si>
    <t>1275441802090213</t>
  </si>
  <si>
    <t>1275450605040214</t>
  </si>
  <si>
    <t>1275452912060215</t>
  </si>
  <si>
    <t>1275451210120216</t>
  </si>
  <si>
    <t>1275450308060217</t>
  </si>
  <si>
    <t>1275452110070218</t>
  </si>
  <si>
    <t>1275462706070219</t>
  </si>
  <si>
    <t>1275461002100220</t>
  </si>
  <si>
    <t>1275460207120221</t>
  </si>
  <si>
    <t>1275462905050222</t>
  </si>
  <si>
    <t>1275461509040223</t>
  </si>
  <si>
    <t>1275470410060224</t>
  </si>
  <si>
    <t>1275472310110225</t>
  </si>
  <si>
    <t>1275470901120226</t>
  </si>
  <si>
    <t>1275473005120227</t>
  </si>
  <si>
    <t>1275471812060228</t>
  </si>
  <si>
    <t>1275481206040229</t>
  </si>
  <si>
    <t>1275483104100230</t>
  </si>
  <si>
    <t>1275480710010231</t>
  </si>
  <si>
    <t>1275482411050232</t>
  </si>
  <si>
    <t>1275481006110233</t>
  </si>
  <si>
    <t>1275490202100234</t>
  </si>
  <si>
    <t>1275491507080235</t>
  </si>
  <si>
    <t>1275492809120236</t>
  </si>
  <si>
    <t>1275490110120237</t>
  </si>
  <si>
    <t>1275492608060238</t>
  </si>
  <si>
    <t>1275501411070239</t>
  </si>
  <si>
    <t>1275500204110240</t>
  </si>
  <si>
    <t>1275502702030241</t>
  </si>
  <si>
    <t>1275500811100242</t>
  </si>
  <si>
    <t>1275501911050243</t>
  </si>
  <si>
    <t>1275512309100244</t>
  </si>
  <si>
    <t>1275510503080245</t>
  </si>
  <si>
    <t>1275511712080246</t>
  </si>
  <si>
    <t>1275510803110247</t>
  </si>
  <si>
    <t>1275513006090248</t>
  </si>
  <si>
    <t>1275520108060249</t>
  </si>
  <si>
    <t>1275522407100250</t>
  </si>
  <si>
    <t>1275521211120251</t>
  </si>
  <si>
    <t>1275520502010252</t>
  </si>
  <si>
    <t>1275523110110253</t>
  </si>
  <si>
    <t>1275530611020254</t>
  </si>
  <si>
    <t>1275532212090255</t>
  </si>
  <si>
    <t>1275533007050256</t>
  </si>
  <si>
    <t>1275531708110257</t>
  </si>
  <si>
    <t>1275530401050258</t>
  </si>
  <si>
    <t>1275540203120259</t>
  </si>
  <si>
    <t>1275542809080260</t>
  </si>
  <si>
    <t>1275541111040261</t>
  </si>
  <si>
    <t>1275542011110262</t>
  </si>
  <si>
    <t>1275540701080263</t>
  </si>
  <si>
    <t>1275550903050264</t>
  </si>
  <si>
    <t>1275552605090265</t>
  </si>
  <si>
    <t>1275551306120266</t>
  </si>
  <si>
    <t>1275550411090267</t>
  </si>
  <si>
    <t>1275552902100268</t>
  </si>
  <si>
    <t>1275561604100269</t>
  </si>
  <si>
    <t>1275560101050270</t>
  </si>
  <si>
    <t>1275562212030271</t>
  </si>
  <si>
    <t>1275560905090272</t>
  </si>
  <si>
    <t>1275563011120273</t>
  </si>
  <si>
    <t>1275570504060274</t>
  </si>
  <si>
    <t>1275572307100275</t>
  </si>
  <si>
    <t>1275571812070276</t>
  </si>
  <si>
    <t>1275573108100277</t>
  </si>
  <si>
    <t>1275570711060278</t>
  </si>
  <si>
    <t>1275580209030279</t>
  </si>
  <si>
    <t>1275582605070280</t>
  </si>
  <si>
    <t>1275581308120281</t>
  </si>
  <si>
    <t>1275580411090282</t>
  </si>
  <si>
    <t>1275582006120283</t>
  </si>
  <si>
    <t>1275593009010284</t>
  </si>
  <si>
    <t>1275591101100285</t>
  </si>
  <si>
    <t>1275590412050286</t>
  </si>
  <si>
    <t>1275592211030287</t>
  </si>
  <si>
    <t>1275591704110288</t>
  </si>
  <si>
    <t>1275600310120289</t>
  </si>
  <si>
    <t>1275602506040290</t>
  </si>
  <si>
    <t>1275600908070291</t>
  </si>
  <si>
    <t>1275603003110292</t>
  </si>
  <si>
    <t>1275601212070293</t>
  </si>
  <si>
    <t>1275611404070294</t>
  </si>
  <si>
    <t>1275610211120295</t>
  </si>
  <si>
    <t>1275612809110296</t>
  </si>
  <si>
    <t>1275611002080297</t>
  </si>
  <si>
    <t>1275613106050298</t>
  </si>
  <si>
    <t>1275620111040299</t>
  </si>
  <si>
    <t>1275622707080300</t>
  </si>
  <si>
    <t>1275620808020301</t>
  </si>
  <si>
    <t>1275621501090302</t>
  </si>
  <si>
    <t>1275623011050303</t>
  </si>
  <si>
    <t>1275630410090304</t>
  </si>
  <si>
    <t>1275632303110305</t>
  </si>
  <si>
    <t>1275630707050306</t>
  </si>
  <si>
    <t>1275631211100307</t>
  </si>
  <si>
    <t>1275633002120308</t>
  </si>
  <si>
    <t>1275640205090309</t>
  </si>
  <si>
    <t>1275642806030310</t>
  </si>
  <si>
    <t>1275641012080311</t>
  </si>
  <si>
    <t>1275640510110312</t>
  </si>
  <si>
    <t>1275642311050313</t>
  </si>
  <si>
    <t>1275651706080314</t>
  </si>
  <si>
    <t>1275650302060315</t>
  </si>
  <si>
    <t>1275650911020316</t>
  </si>
  <si>
    <t>1275652010070317</t>
  </si>
  <si>
    <t>1275653108110318</t>
  </si>
  <si>
    <t>1275661111020319</t>
  </si>
  <si>
    <t>1275663012070320</t>
  </si>
  <si>
    <t>1275660209050321</t>
  </si>
  <si>
    <t>1275661404070322</t>
  </si>
  <si>
    <t>1275662805030323</t>
  </si>
  <si>
    <t>1275670812010324</t>
  </si>
  <si>
    <t>1275672210120325</t>
  </si>
  <si>
    <t>1275670407060326</t>
  </si>
  <si>
    <t>1275671911110327</t>
  </si>
  <si>
    <t>1275673008120328</t>
  </si>
  <si>
    <t>1275680204100329</t>
  </si>
  <si>
    <t>1275681011080330</t>
  </si>
  <si>
    <t>1275682310090331</t>
  </si>
  <si>
    <t>1275680512050332</t>
  </si>
  <si>
    <t>1275682911120333</t>
  </si>
  <si>
    <t>1275691207070334</t>
  </si>
  <si>
    <t>1275693012100335</t>
  </si>
  <si>
    <t>1275690103100336</t>
  </si>
  <si>
    <t>1275691504100337</t>
  </si>
  <si>
    <t>1275692802090338</t>
  </si>
  <si>
    <t>1275700410080339</t>
  </si>
  <si>
    <t>1275702205040340</t>
  </si>
  <si>
    <t>1275701102100341</t>
  </si>
  <si>
    <t>1275703007110342</t>
  </si>
  <si>
    <t>1275701811050343</t>
  </si>
  <si>
    <t>1275710208090344</t>
  </si>
  <si>
    <t>1275712403060345</t>
  </si>
  <si>
    <t>1275710901120346</t>
  </si>
  <si>
    <t>1275711511040347</t>
  </si>
  <si>
    <t>1275713112100348</t>
  </si>
  <si>
    <t>1275721406100349</t>
  </si>
  <si>
    <t>1275720110120350</t>
  </si>
  <si>
    <t>1275722611090351</t>
  </si>
  <si>
    <t>1275720806010352</t>
  </si>
  <si>
    <t>1275723007040353</t>
  </si>
  <si>
    <t>1275730507050354</t>
  </si>
  <si>
    <t>1275731002040355</t>
  </si>
  <si>
    <t>1275732312090356</t>
  </si>
  <si>
    <t>1275730411120357</t>
  </si>
  <si>
    <t>1275731910030358</t>
  </si>
  <si>
    <t>1275740206120359</t>
  </si>
  <si>
    <t>1275742805070360</t>
  </si>
  <si>
    <t>1275741012050361</t>
  </si>
  <si>
    <t>1275743111020362</t>
  </si>
  <si>
    <t>1275741504010363</t>
  </si>
  <si>
    <t>1275750612080364</t>
  </si>
  <si>
    <t>1275752211040365</t>
  </si>
  <si>
    <t>1275750408100366</t>
  </si>
  <si>
    <t>1275751805060367</t>
  </si>
  <si>
    <t>1275752909120368</t>
  </si>
  <si>
    <t>1275760310100369</t>
  </si>
  <si>
    <t>1275761206020370</t>
  </si>
  <si>
    <t>1275762905090371</t>
  </si>
  <si>
    <t>1275760501080372</t>
  </si>
  <si>
    <t>1275761711070373</t>
  </si>
  <si>
    <t>1275770210030374</t>
  </si>
  <si>
    <t>1275773008110375</t>
  </si>
  <si>
    <t>1275771106090376</t>
  </si>
  <si>
    <t>1275771909110377</t>
  </si>
  <si>
    <t>1275772411040378</t>
  </si>
  <si>
    <t>1275780410060379</t>
  </si>
  <si>
    <t>1275782002100380</t>
  </si>
  <si>
    <t>1275780710040381</t>
  </si>
  <si>
    <t>1275783108070382</t>
  </si>
  <si>
    <t>1275781011120383</t>
  </si>
  <si>
    <t>1275790204120384</t>
  </si>
  <si>
    <t>1275792805080385</t>
  </si>
  <si>
    <t>1275791302110386</t>
  </si>
  <si>
    <t>1275790511050387</t>
  </si>
  <si>
    <t>1275792010020388</t>
  </si>
  <si>
    <t>1275802508060389</t>
  </si>
  <si>
    <t>1275800903090390</t>
  </si>
  <si>
    <t>1275800206050391</t>
  </si>
  <si>
    <t>1275801811040392</t>
  </si>
  <si>
    <t>1275803010030393</t>
  </si>
  <si>
    <t>1275810604070394</t>
  </si>
  <si>
    <t>1275812309090395</t>
  </si>
  <si>
    <t>1275811411080396</t>
  </si>
  <si>
    <t>1275810107030397</t>
  </si>
  <si>
    <t>1275812802040398</t>
  </si>
  <si>
    <t>1275821110050399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</si>
</sst>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0" xfId="0" applyNumberFormat="1" applyFont="1"/>
    <xf numFmtId="0" fontId="0" fillId="0" borderId="0" xfId="0" applyNumberFormat="1"/>
    <xf numFmtId="0" fontId="0" fillId="0" borderId="0" xfId="0" applyFill="1"/>
    <xf numFmtId="0" fontId="0" fillId="0" borderId="0" xfId="0" applyNumberFormat="1" applyFill="1"/>
    <xf numFmtId="0" fontId="2" fillId="0" borderId="2" xfId="0" applyNumberFormat="1" applyFont="1" applyBorder="1" applyAlignment="1">
      <alignment horizontal="center" vertical="top"/>
    </xf>
    <xf numFmtId="49" fontId="0" fillId="0" borderId="0" xfId="0" applyNumberFormat="1" applyFill="1"/>
  </cellXfs>
  <cellStyles count="1">
    <cellStyle name="Normal" xfId="0" builtinId="0"/>
  </cellStyles>
  <dxfs count="43">
    <dxf>
      <numFmt numFmtId="30" formatCode="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B801" totalsRowShown="0" headerRowDxfId="42" dataDxfId="41">
  <autoFilter ref="A1:AB801"/>
  <tableColumns count="28">
    <tableColumn id="28" name="NIK" dataDxfId="0" totalsRowDxfId="2"/>
    <tableColumn id="1" name="Nama" dataDxfId="1" totalsRowDxfId="40"/>
    <tableColumn id="2" name="Tahun Lahir"/>
    <tableColumn id="3" name="Umur">
      <calculatedColumnFormula>YEAR(TODAY()) - C2</calculatedColumnFormula>
    </tableColumn>
    <tableColumn id="4" name="Status" dataDxfId="39" totalsRowDxfId="38"/>
    <tableColumn id="5" name="Pekerjaan"/>
    <tableColumn id="6" name="Penghasilan" dataDxfId="37">
      <calculatedColumnFormula>IF(OR(
    F2="Tidak bekerja",
    F2="Pekerja keluarga/Tidak dibayar"),
    IF(OR(H2="Tidak Sekolah", H2="SD"), "&lt;500.000", "500.000–1.000.000"),
IF(OR(
    F2="Pekerja Bebas Pertanian",
    F2="Pekerja Bebas non-Pertanian"),
    IF(OR(H2="Tidak Sekolah", H2="SD", H2="SMP"), "500.000–1.000.000", "1.000.000–2.000.000"),
IF(F2="Buruh/Karyawan/Pegawai Swasta",
    IF(OR(H2="SD", H2="SMP"), "500.000–1.000.000",
       IF(OR(H2="SMA/SMK", H2="D1/2/3"), "1.000.000–2.000.000", "2.000.000–3.000.000")
    ),
IF(F2="Berusaha Sendiri",
    IF(OR(H2="SD", H2="SMP"), "500.000–1.000.000", "1.000.000–2.000.000"),
IF(F2="Berusaha dibantu buruh tidak tetap/Tidak dibayar", "1.000.000–2.000.000",
IF(F2="Berusaha dibantu buruh tetap/Dibayar", "2.000.000–3.000.000",
IF(F2="PNS/TNI/Polri/BUMN/BUMD/Anggota Legislatif", "2.000.000–3.000.000",
""
)))))))</calculatedColumnFormula>
    </tableColumn>
    <tableColumn id="7" name="Pendidikan"/>
    <tableColumn id="8" name="Jumlah Tanggungan"/>
    <tableColumn id="9" name="Status Kepemilikan Rumah"/>
    <tableColumn id="10" name="Jenis Lantai" dataDxfId="36" totalsRowDxfId="35"/>
    <tableColumn id="11" name="Jenis Dinding" dataDxfId="34" totalsRowDxfId="33"/>
    <tableColumn id="12" name="Jenis Atap" dataDxfId="32" totalsRowDxfId="31"/>
    <tableColumn id="13" name="Bahan Bakar" dataDxfId="30" totalsRowDxfId="29"/>
    <tableColumn id="14" name="Jenis Kloset" dataDxfId="28" totalsRowDxfId="27"/>
    <tableColumn id="15" name="Tempat Buang Air Besar (MCK / Toilet)" dataDxfId="26" totalsRowDxfId="25"/>
    <tableColumn id="16" name="Pembungan Akhir Tinja" dataDxfId="24" totalsRowDxfId="23"/>
    <tableColumn id="17" name="Sumber Air Minum" dataDxfId="22" totalsRowDxfId="21"/>
    <tableColumn id="18" name="Sumber Penerangan" dataDxfId="20" totalsRowDxfId="19"/>
    <tableColumn id="19" name="Kepemilikan Aset Gerak" dataDxfId="18" totalsRowDxfId="17"/>
    <tableColumn id="20" name="Jumlah Aset Gerak" dataDxfId="16" totalsRowDxfId="15"/>
    <tableColumn id="21" name="Kepemilikan Aset Tidak bergerak" dataDxfId="14" totalsRowDxfId="13"/>
    <tableColumn id="22" name="Jumlah Aset Tidak Bergerak" dataDxfId="12" totalsRowDxfId="11"/>
    <tableColumn id="23" name="Kepemilikan Lahan/Ternak" dataDxfId="10" totalsRowDxfId="9"/>
    <tableColumn id="24" name="Jumlah Anak Sekolah"/>
    <tableColumn id="25" name="Balita/Anak Usia Dini" dataDxfId="8" totalsRowDxfId="7"/>
    <tableColumn id="26" name="Lansia (&gt;60 tahun)" dataDxfId="6" totalsRowDxfId="5"/>
    <tableColumn id="27" name="Disabilitas/Penyakit Kronis" dataDxfId="4" totalsRow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1"/>
  <sheetViews>
    <sheetView tabSelected="1" topLeftCell="A103" workbookViewId="0">
      <selection activeCell="G110" sqref="G110"/>
    </sheetView>
  </sheetViews>
  <sheetFormatPr defaultRowHeight="14.5" x14ac:dyDescent="0.35"/>
  <cols>
    <col min="1" max="1" width="19.54296875" style="4" bestFit="1" customWidth="1"/>
    <col min="2" max="2" width="12.6328125" customWidth="1"/>
    <col min="3" max="3" width="11.453125" customWidth="1"/>
    <col min="4" max="4" width="14.08984375" bestFit="1" customWidth="1"/>
    <col min="5" max="5" width="29.26953125" bestFit="1" customWidth="1"/>
    <col min="6" max="6" width="18.1796875" bestFit="1" customWidth="1"/>
    <col min="7" max="7" width="12.1796875" bestFit="1" customWidth="1"/>
    <col min="8" max="8" width="19.7265625" customWidth="1"/>
    <col min="9" max="9" width="24.7265625" customWidth="1"/>
    <col min="10" max="10" width="17.08984375" bestFit="1" customWidth="1"/>
    <col min="11" max="11" width="15.1796875" bestFit="1" customWidth="1"/>
    <col min="12" max="12" width="11.54296875" bestFit="1" customWidth="1"/>
    <col min="13" max="13" width="22" bestFit="1" customWidth="1"/>
    <col min="14" max="14" width="23.08984375" bestFit="1" customWidth="1"/>
    <col min="15" max="15" width="34.90625" customWidth="1"/>
    <col min="16" max="16" width="22.26953125" customWidth="1"/>
    <col min="17" max="17" width="17" bestFit="1" customWidth="1"/>
    <col min="18" max="18" width="23.6328125" bestFit="1" customWidth="1"/>
    <col min="19" max="19" width="22.7265625" style="4" customWidth="1"/>
    <col min="20" max="20" width="18.36328125" customWidth="1"/>
    <col min="21" max="21" width="30.1796875" customWidth="1"/>
    <col min="22" max="22" width="24.08984375" bestFit="1" customWidth="1"/>
    <col min="23" max="23" width="25.1796875" customWidth="1"/>
    <col min="24" max="24" width="20.453125" customWidth="1"/>
    <col min="25" max="25" width="20.36328125" customWidth="1"/>
    <col min="26" max="26" width="18.1796875" customWidth="1"/>
    <col min="27" max="27" width="25.1796875" customWidth="1"/>
  </cols>
  <sheetData>
    <row r="1" spans="1:28" s="2" customFormat="1" x14ac:dyDescent="0.35">
      <c r="A1" s="7" t="s">
        <v>783</v>
      </c>
      <c r="B1" s="2" t="s">
        <v>0</v>
      </c>
      <c r="C1" s="2" t="s">
        <v>122</v>
      </c>
      <c r="D1" s="2" t="s">
        <v>778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780</v>
      </c>
      <c r="J1" s="2" t="s">
        <v>781</v>
      </c>
      <c r="K1" s="2" t="s">
        <v>9</v>
      </c>
      <c r="L1" s="2" t="s">
        <v>782</v>
      </c>
      <c r="M1" s="2" t="s">
        <v>12</v>
      </c>
      <c r="N1" s="2" t="s">
        <v>36</v>
      </c>
      <c r="O1" s="2" t="s">
        <v>41</v>
      </c>
      <c r="P1" s="1" t="s">
        <v>13</v>
      </c>
      <c r="Q1" s="2" t="s">
        <v>16</v>
      </c>
      <c r="R1" s="2" t="s">
        <v>18</v>
      </c>
      <c r="S1" s="2" t="s">
        <v>20</v>
      </c>
      <c r="T1" s="3" t="s">
        <v>22</v>
      </c>
      <c r="U1" s="2" t="s">
        <v>24</v>
      </c>
      <c r="V1" s="2" t="s">
        <v>25</v>
      </c>
      <c r="W1" s="2" t="s">
        <v>779</v>
      </c>
      <c r="X1" s="2" t="s">
        <v>59</v>
      </c>
      <c r="Y1" s="2" t="s">
        <v>45</v>
      </c>
      <c r="Z1" s="1" t="s">
        <v>32</v>
      </c>
      <c r="AA1" s="1" t="s">
        <v>33</v>
      </c>
      <c r="AB1" s="1" t="s">
        <v>34</v>
      </c>
    </row>
    <row r="2" spans="1:28" ht="16" customHeight="1" x14ac:dyDescent="0.35">
      <c r="A2" s="8" t="s">
        <v>1111</v>
      </c>
      <c r="B2" t="s">
        <v>5</v>
      </c>
      <c r="C2">
        <v>1985</v>
      </c>
      <c r="D2">
        <f ca="1">YEAR(TODAY()) - C2</f>
        <v>40</v>
      </c>
      <c r="E2" t="s">
        <v>6</v>
      </c>
      <c r="F2" t="s">
        <v>137</v>
      </c>
      <c r="G2" t="str">
        <f>IF(OR(
    F2="Tidak bekerja",
    F2="Pekerja keluarga/Tidak dibayar"),
    IF(OR(H2="Tidak Sekolah", H2="SD"), "&lt;500.000", "500.000–1.000.000"),
IF(OR(
    F2="Pekerja Bebas Pertanian",
    F2="Pekerja Bebas non-Pertanian"),
    IF(OR(H2="Tidak Sekolah", H2="SD", H2="SMP"), "500.000–1.000.000", "1.000.000–2.000.000"),
IF(F2="Buruh/Karyawan/Pegawai Swasta",
    IF(OR(H2="SD", H2="SMP"), "500.000–1.000.000",
       IF(OR(H2="SMA/SMK", H2="D1/2/3"), "1.000.000–2.000.000", "2.000.000–3.000.000")
    ),
IF(F2="Berusaha Sendiri",
    IF(OR(H2="SD", H2="SMP"), "500.000–1.000.000", "1.000.000–2.000.000"),
IF(F2="Berusaha dibantu buruh tidak tetap/Tidak dibayar", "1.000.000–2.000.000",
IF(F2="Berusaha dibantu buruh tetap/Dibayar", "2.000.000–3.000.000",
IF(F2="PNS/TNI/Polri/BUMN/BUMD/Anggota Legislatif", "2.000.000–3.000.000",
""
)))))))</f>
        <v>500.000–1.000.000</v>
      </c>
      <c r="H2" t="s">
        <v>7</v>
      </c>
      <c r="I2">
        <v>3</v>
      </c>
      <c r="J2" t="s">
        <v>8</v>
      </c>
      <c r="K2" t="s">
        <v>10</v>
      </c>
      <c r="L2" t="s">
        <v>11</v>
      </c>
      <c r="M2" t="s">
        <v>14</v>
      </c>
      <c r="O2" t="s">
        <v>42</v>
      </c>
      <c r="P2" t="s">
        <v>15</v>
      </c>
      <c r="Q2" t="s">
        <v>17</v>
      </c>
      <c r="R2" t="s">
        <v>19</v>
      </c>
      <c r="S2" t="s">
        <v>21</v>
      </c>
      <c r="T2" s="4" t="s">
        <v>23</v>
      </c>
      <c r="U2">
        <v>1</v>
      </c>
      <c r="V2" t="s">
        <v>26</v>
      </c>
      <c r="W2">
        <v>1</v>
      </c>
      <c r="X2" t="s">
        <v>46</v>
      </c>
      <c r="Y2">
        <v>3</v>
      </c>
      <c r="Z2" t="s">
        <v>46</v>
      </c>
      <c r="AA2" t="s">
        <v>46</v>
      </c>
      <c r="AB2" t="s">
        <v>46</v>
      </c>
    </row>
    <row r="3" spans="1:28" x14ac:dyDescent="0.35">
      <c r="A3" s="8" t="s">
        <v>1112</v>
      </c>
      <c r="B3" t="s">
        <v>27</v>
      </c>
      <c r="C3">
        <v>1985</v>
      </c>
      <c r="D3">
        <f t="shared" ref="D3:D140" ca="1" si="0">YEAR(TODAY()) - C3</f>
        <v>40</v>
      </c>
      <c r="E3" t="s">
        <v>28</v>
      </c>
      <c r="F3" t="s">
        <v>29</v>
      </c>
      <c r="G3" t="str">
        <f t="shared" ref="G3:G64" si="1">IF(OR(
    F3="Tidak bekerja",
    F3="Pekerja keluarga/Tidak dibayar"),
    IF(OR(H3="Tidak Sekolah", H3="SD"), "&lt;500.000", "500.000–1.000.000"),
IF(OR(
    F3="Pekerja Bebas Pertanian",
    F3="Pekerja Bebas non-Pertanian"),
    IF(OR(H3="Tidak Sekolah", H3="SD", H3="SMP"), "500.000–1.000.000", "1.000.000–2.000.000"),
IF(F3="Buruh/Karyawan/Pegawai Swasta",
    IF(OR(H3="SD", H3="SMP"), "500.000–1.000.000",
       IF(OR(H3="SMA/SMK", H3="D1/2/3"), "1.000.000–2.000.000", "2.000.000–3.000.000")
    ),
IF(F3="Berusaha Sendiri",
    IF(OR(H3="SD", H3="SMP"), "500.000–1.000.000", "1.000.000–2.000.000"),
IF(F3="Berusaha dibantu buruh tidak tetap/Tidak dibayar", "1.000.000–2.000.000",
IF(F3="Berusaha dibantu buruh tetap/Dibayar", "2.000.000–3.000.000",
IF(F3="PNS/TNI/Polri/BUMN/BUMD/Anggota Legislatif", "2.000.000–3.000.000",
""
)))))))</f>
        <v>&lt;500.000</v>
      </c>
      <c r="H3" t="s">
        <v>30</v>
      </c>
      <c r="I3">
        <v>3</v>
      </c>
      <c r="J3" t="s">
        <v>8</v>
      </c>
      <c r="K3" t="s">
        <v>10</v>
      </c>
      <c r="L3" t="s">
        <v>11</v>
      </c>
      <c r="M3" t="s">
        <v>14</v>
      </c>
      <c r="O3" t="s">
        <v>42</v>
      </c>
      <c r="P3" t="s">
        <v>15</v>
      </c>
      <c r="Q3" t="s">
        <v>17</v>
      </c>
      <c r="R3" t="s">
        <v>19</v>
      </c>
      <c r="S3" t="s">
        <v>21</v>
      </c>
      <c r="T3" s="4" t="s">
        <v>23</v>
      </c>
      <c r="U3">
        <v>1</v>
      </c>
      <c r="V3" t="s">
        <v>26</v>
      </c>
      <c r="W3">
        <v>1</v>
      </c>
      <c r="X3" t="s">
        <v>46</v>
      </c>
      <c r="Y3">
        <v>3</v>
      </c>
      <c r="Z3" t="s">
        <v>46</v>
      </c>
      <c r="AA3" t="s">
        <v>46</v>
      </c>
      <c r="AB3" t="s">
        <v>46</v>
      </c>
    </row>
    <row r="4" spans="1:28" x14ac:dyDescent="0.35">
      <c r="A4" s="8" t="s">
        <v>1113</v>
      </c>
      <c r="B4" t="s">
        <v>31</v>
      </c>
      <c r="C4">
        <v>1958</v>
      </c>
      <c r="D4">
        <f t="shared" ca="1" si="0"/>
        <v>67</v>
      </c>
      <c r="E4" t="s">
        <v>6</v>
      </c>
      <c r="F4" t="s">
        <v>29</v>
      </c>
      <c r="G4" t="str">
        <f t="shared" si="1"/>
        <v>&lt;500.000</v>
      </c>
      <c r="H4" t="s">
        <v>30</v>
      </c>
      <c r="I4">
        <f ca="1">-I4</f>
        <v>0</v>
      </c>
      <c r="J4" t="s">
        <v>8</v>
      </c>
      <c r="K4" t="s">
        <v>38</v>
      </c>
      <c r="L4" t="s">
        <v>39</v>
      </c>
      <c r="M4" t="s">
        <v>40</v>
      </c>
      <c r="N4" t="s">
        <v>37</v>
      </c>
      <c r="O4" t="s">
        <v>42</v>
      </c>
      <c r="P4" t="s">
        <v>15</v>
      </c>
      <c r="Q4" t="s">
        <v>17</v>
      </c>
      <c r="R4" t="s">
        <v>43</v>
      </c>
      <c r="S4" t="s">
        <v>21</v>
      </c>
      <c r="T4" s="4" t="s">
        <v>73</v>
      </c>
      <c r="U4">
        <v>0</v>
      </c>
      <c r="V4" t="s">
        <v>73</v>
      </c>
      <c r="W4">
        <v>0</v>
      </c>
      <c r="X4" t="s">
        <v>46</v>
      </c>
      <c r="Y4">
        <v>0</v>
      </c>
      <c r="Z4" t="s">
        <v>46</v>
      </c>
      <c r="AA4" t="s">
        <v>44</v>
      </c>
      <c r="AB4" t="s">
        <v>35</v>
      </c>
    </row>
    <row r="5" spans="1:28" x14ac:dyDescent="0.35">
      <c r="A5" s="8" t="s">
        <v>1114</v>
      </c>
      <c r="B5" t="s">
        <v>47</v>
      </c>
      <c r="C5">
        <v>1986</v>
      </c>
      <c r="D5">
        <f t="shared" ca="1" si="0"/>
        <v>39</v>
      </c>
      <c r="E5" t="s">
        <v>6</v>
      </c>
      <c r="F5" t="s">
        <v>137</v>
      </c>
      <c r="G5" t="str">
        <f t="shared" si="1"/>
        <v>500.000–1.000.000</v>
      </c>
      <c r="H5" t="s">
        <v>7</v>
      </c>
      <c r="I5">
        <v>3</v>
      </c>
      <c r="J5" t="s">
        <v>48</v>
      </c>
      <c r="K5" t="s">
        <v>38</v>
      </c>
      <c r="L5" t="s">
        <v>49</v>
      </c>
      <c r="M5" t="s">
        <v>40</v>
      </c>
      <c r="N5" t="s">
        <v>37</v>
      </c>
      <c r="O5" t="s">
        <v>42</v>
      </c>
      <c r="P5" t="s">
        <v>15</v>
      </c>
      <c r="Q5" t="s">
        <v>17</v>
      </c>
      <c r="R5" t="s">
        <v>43</v>
      </c>
      <c r="S5" t="s">
        <v>21</v>
      </c>
      <c r="T5" s="4" t="s">
        <v>23</v>
      </c>
      <c r="U5">
        <v>1</v>
      </c>
      <c r="V5" t="s">
        <v>26</v>
      </c>
      <c r="W5">
        <v>1</v>
      </c>
      <c r="X5" t="s">
        <v>44</v>
      </c>
      <c r="Y5">
        <v>2</v>
      </c>
      <c r="Z5" t="s">
        <v>44</v>
      </c>
      <c r="AA5" t="s">
        <v>46</v>
      </c>
      <c r="AB5" t="s">
        <v>46</v>
      </c>
    </row>
    <row r="6" spans="1:28" x14ac:dyDescent="0.35">
      <c r="A6" s="8" t="s">
        <v>1115</v>
      </c>
      <c r="B6" t="s">
        <v>50</v>
      </c>
      <c r="C6">
        <v>1987</v>
      </c>
      <c r="D6">
        <f t="shared" ca="1" si="0"/>
        <v>38</v>
      </c>
      <c r="E6" t="s">
        <v>28</v>
      </c>
      <c r="F6" t="s">
        <v>55</v>
      </c>
      <c r="G6" t="str">
        <f t="shared" si="1"/>
        <v>500.000–1.000.000</v>
      </c>
      <c r="H6" t="s">
        <v>7</v>
      </c>
      <c r="I6">
        <v>3</v>
      </c>
      <c r="J6" t="s">
        <v>48</v>
      </c>
      <c r="K6" t="s">
        <v>38</v>
      </c>
      <c r="L6" t="s">
        <v>49</v>
      </c>
      <c r="M6" t="s">
        <v>40</v>
      </c>
      <c r="N6" t="s">
        <v>37</v>
      </c>
      <c r="O6" t="s">
        <v>42</v>
      </c>
      <c r="P6" t="s">
        <v>15</v>
      </c>
      <c r="Q6" t="s">
        <v>17</v>
      </c>
      <c r="R6" t="s">
        <v>43</v>
      </c>
      <c r="S6" t="s">
        <v>21</v>
      </c>
      <c r="T6" s="4" t="s">
        <v>23</v>
      </c>
      <c r="U6">
        <v>1</v>
      </c>
      <c r="V6" t="s">
        <v>26</v>
      </c>
      <c r="W6">
        <v>1</v>
      </c>
      <c r="X6" t="s">
        <v>44</v>
      </c>
      <c r="Y6">
        <v>2</v>
      </c>
      <c r="Z6" t="s">
        <v>44</v>
      </c>
      <c r="AA6" t="s">
        <v>46</v>
      </c>
      <c r="AB6" t="s">
        <v>46</v>
      </c>
    </row>
    <row r="7" spans="1:28" x14ac:dyDescent="0.35">
      <c r="A7" s="8" t="s">
        <v>1116</v>
      </c>
      <c r="B7" t="s">
        <v>51</v>
      </c>
      <c r="C7">
        <v>1986</v>
      </c>
      <c r="D7">
        <f t="shared" ca="1" si="0"/>
        <v>39</v>
      </c>
      <c r="E7" t="s">
        <v>6</v>
      </c>
      <c r="F7" t="s">
        <v>54</v>
      </c>
      <c r="G7" t="str">
        <f t="shared" si="1"/>
        <v>500.000–1.000.000</v>
      </c>
      <c r="H7" t="s">
        <v>30</v>
      </c>
      <c r="I7">
        <v>2</v>
      </c>
      <c r="J7" t="s">
        <v>48</v>
      </c>
      <c r="K7" t="s">
        <v>38</v>
      </c>
      <c r="L7" t="s">
        <v>11</v>
      </c>
      <c r="M7" t="s">
        <v>40</v>
      </c>
      <c r="N7" t="s">
        <v>37</v>
      </c>
      <c r="O7" t="s">
        <v>42</v>
      </c>
      <c r="P7" t="s">
        <v>15</v>
      </c>
      <c r="Q7" t="s">
        <v>17</v>
      </c>
      <c r="R7" t="s">
        <v>43</v>
      </c>
      <c r="S7" t="s">
        <v>21</v>
      </c>
      <c r="T7" s="4" t="s">
        <v>23</v>
      </c>
      <c r="U7">
        <v>1</v>
      </c>
      <c r="V7" t="s">
        <v>52</v>
      </c>
      <c r="W7">
        <v>1</v>
      </c>
      <c r="X7" t="s">
        <v>46</v>
      </c>
      <c r="Y7">
        <v>0</v>
      </c>
      <c r="Z7" t="s">
        <v>44</v>
      </c>
      <c r="AA7" t="s">
        <v>46</v>
      </c>
      <c r="AB7" t="s">
        <v>46</v>
      </c>
    </row>
    <row r="8" spans="1:28" x14ac:dyDescent="0.35">
      <c r="A8" s="8" t="s">
        <v>1117</v>
      </c>
      <c r="B8" t="s">
        <v>53</v>
      </c>
      <c r="C8">
        <v>1994</v>
      </c>
      <c r="D8">
        <f t="shared" ca="1" si="0"/>
        <v>31</v>
      </c>
      <c r="E8" t="s">
        <v>28</v>
      </c>
      <c r="F8" t="s">
        <v>29</v>
      </c>
      <c r="G8" t="str">
        <f t="shared" si="1"/>
        <v>500.000–1.000.000</v>
      </c>
      <c r="H8" t="s">
        <v>7</v>
      </c>
      <c r="I8">
        <v>2</v>
      </c>
      <c r="J8" t="s">
        <v>48</v>
      </c>
      <c r="K8" t="s">
        <v>38</v>
      </c>
      <c r="L8" t="s">
        <v>11</v>
      </c>
      <c r="M8" t="s">
        <v>40</v>
      </c>
      <c r="N8" t="s">
        <v>37</v>
      </c>
      <c r="O8" t="s">
        <v>42</v>
      </c>
      <c r="P8" t="s">
        <v>15</v>
      </c>
      <c r="Q8" t="s">
        <v>17</v>
      </c>
      <c r="R8" t="s">
        <v>43</v>
      </c>
      <c r="S8" t="s">
        <v>21</v>
      </c>
      <c r="T8" s="4" t="s">
        <v>23</v>
      </c>
      <c r="U8">
        <v>1</v>
      </c>
      <c r="V8" t="s">
        <v>52</v>
      </c>
      <c r="W8">
        <v>1</v>
      </c>
      <c r="X8" t="s">
        <v>46</v>
      </c>
      <c r="Y8">
        <v>0</v>
      </c>
      <c r="Z8" t="s">
        <v>44</v>
      </c>
      <c r="AA8" t="s">
        <v>46</v>
      </c>
      <c r="AB8" t="s">
        <v>46</v>
      </c>
    </row>
    <row r="9" spans="1:28" x14ac:dyDescent="0.35">
      <c r="A9" s="8" t="s">
        <v>1118</v>
      </c>
      <c r="B9" t="s">
        <v>56</v>
      </c>
      <c r="C9">
        <v>1981</v>
      </c>
      <c r="D9">
        <f t="shared" ca="1" si="0"/>
        <v>44</v>
      </c>
      <c r="E9" t="s">
        <v>6</v>
      </c>
      <c r="F9" t="s">
        <v>137</v>
      </c>
      <c r="G9" t="str">
        <f t="shared" si="1"/>
        <v>500.000–1.000.000</v>
      </c>
      <c r="H9" t="s">
        <v>7</v>
      </c>
      <c r="I9">
        <v>2</v>
      </c>
      <c r="J9" t="s">
        <v>8</v>
      </c>
      <c r="K9" t="s">
        <v>38</v>
      </c>
      <c r="L9" t="s">
        <v>49</v>
      </c>
      <c r="M9" t="s">
        <v>57</v>
      </c>
      <c r="N9" t="s">
        <v>58</v>
      </c>
      <c r="O9" t="s">
        <v>42</v>
      </c>
      <c r="P9" t="s">
        <v>15</v>
      </c>
      <c r="Q9" t="s">
        <v>17</v>
      </c>
      <c r="R9" t="s">
        <v>43</v>
      </c>
      <c r="S9" t="s">
        <v>21</v>
      </c>
      <c r="T9" s="4" t="s">
        <v>23</v>
      </c>
      <c r="U9">
        <v>1</v>
      </c>
      <c r="V9" t="s">
        <v>26</v>
      </c>
      <c r="W9">
        <v>1</v>
      </c>
      <c r="X9" t="s">
        <v>60</v>
      </c>
      <c r="Y9">
        <v>2</v>
      </c>
      <c r="Z9" t="s">
        <v>46</v>
      </c>
      <c r="AA9" t="s">
        <v>46</v>
      </c>
      <c r="AB9" t="s">
        <v>46</v>
      </c>
    </row>
    <row r="10" spans="1:28" x14ac:dyDescent="0.35">
      <c r="A10" s="8" t="s">
        <v>1119</v>
      </c>
      <c r="B10" t="s">
        <v>61</v>
      </c>
      <c r="C10">
        <v>1985</v>
      </c>
      <c r="D10">
        <f t="shared" ca="1" si="0"/>
        <v>40</v>
      </c>
      <c r="E10" t="s">
        <v>28</v>
      </c>
      <c r="F10" t="s">
        <v>55</v>
      </c>
      <c r="G10" t="str">
        <f t="shared" si="1"/>
        <v>500.000–1.000.000</v>
      </c>
      <c r="H10" t="s">
        <v>7</v>
      </c>
      <c r="I10">
        <v>2</v>
      </c>
      <c r="J10" t="s">
        <v>8</v>
      </c>
      <c r="K10" t="s">
        <v>38</v>
      </c>
      <c r="L10" t="s">
        <v>49</v>
      </c>
      <c r="M10" t="s">
        <v>57</v>
      </c>
      <c r="N10" t="s">
        <v>58</v>
      </c>
      <c r="O10" t="s">
        <v>42</v>
      </c>
      <c r="P10" t="s">
        <v>15</v>
      </c>
      <c r="Q10" t="s">
        <v>17</v>
      </c>
      <c r="R10" t="s">
        <v>43</v>
      </c>
      <c r="S10" t="s">
        <v>21</v>
      </c>
      <c r="T10" s="4" t="s">
        <v>23</v>
      </c>
      <c r="U10">
        <v>1</v>
      </c>
      <c r="V10" t="s">
        <v>26</v>
      </c>
      <c r="W10">
        <v>1</v>
      </c>
      <c r="X10" t="s">
        <v>60</v>
      </c>
      <c r="Y10">
        <v>2</v>
      </c>
      <c r="Z10" t="s">
        <v>46</v>
      </c>
      <c r="AA10" t="s">
        <v>46</v>
      </c>
      <c r="AB10" t="s">
        <v>46</v>
      </c>
    </row>
    <row r="11" spans="1:28" x14ac:dyDescent="0.35">
      <c r="A11" s="8" t="s">
        <v>784</v>
      </c>
      <c r="B11" t="s">
        <v>62</v>
      </c>
      <c r="C11">
        <v>1949</v>
      </c>
      <c r="D11">
        <f t="shared" ca="1" si="0"/>
        <v>76</v>
      </c>
      <c r="E11" t="s">
        <v>6</v>
      </c>
      <c r="F11" t="s">
        <v>29</v>
      </c>
      <c r="G11" t="str">
        <f t="shared" si="1"/>
        <v>&lt;500.000</v>
      </c>
      <c r="H11" t="s">
        <v>63</v>
      </c>
      <c r="I11">
        <v>2</v>
      </c>
      <c r="J11" t="s">
        <v>8</v>
      </c>
      <c r="K11" t="s">
        <v>38</v>
      </c>
      <c r="L11" t="s">
        <v>11</v>
      </c>
      <c r="M11" t="s">
        <v>57</v>
      </c>
      <c r="N11" t="s">
        <v>58</v>
      </c>
      <c r="O11" t="s">
        <v>42</v>
      </c>
      <c r="P11" t="s">
        <v>15</v>
      </c>
      <c r="Q11" t="s">
        <v>17</v>
      </c>
      <c r="R11" t="s">
        <v>43</v>
      </c>
      <c r="S11" t="s">
        <v>21</v>
      </c>
      <c r="T11" s="4" t="s">
        <v>23</v>
      </c>
      <c r="U11">
        <v>1</v>
      </c>
      <c r="V11" t="s">
        <v>26</v>
      </c>
      <c r="W11">
        <v>1</v>
      </c>
      <c r="X11" t="s">
        <v>46</v>
      </c>
      <c r="Y11">
        <v>1</v>
      </c>
      <c r="Z11" t="s">
        <v>46</v>
      </c>
      <c r="AA11" t="s">
        <v>64</v>
      </c>
      <c r="AB11" t="s">
        <v>46</v>
      </c>
    </row>
    <row r="12" spans="1:28" x14ac:dyDescent="0.35">
      <c r="A12" s="8" t="s">
        <v>1120</v>
      </c>
      <c r="B12" t="s">
        <v>65</v>
      </c>
      <c r="C12">
        <v>1955</v>
      </c>
      <c r="D12">
        <f t="shared" ca="1" si="0"/>
        <v>70</v>
      </c>
      <c r="E12" t="s">
        <v>28</v>
      </c>
      <c r="F12" t="s">
        <v>29</v>
      </c>
      <c r="G12" t="str">
        <f t="shared" si="1"/>
        <v>&lt;500.000</v>
      </c>
      <c r="H12" t="s">
        <v>30</v>
      </c>
      <c r="I12">
        <v>2</v>
      </c>
      <c r="J12" t="s">
        <v>8</v>
      </c>
      <c r="K12" t="s">
        <v>38</v>
      </c>
      <c r="L12" t="s">
        <v>11</v>
      </c>
      <c r="M12" t="s">
        <v>57</v>
      </c>
      <c r="N12" t="s">
        <v>58</v>
      </c>
      <c r="O12" t="s">
        <v>42</v>
      </c>
      <c r="P12" t="s">
        <v>15</v>
      </c>
      <c r="Q12" t="s">
        <v>17</v>
      </c>
      <c r="R12" t="s">
        <v>43</v>
      </c>
      <c r="S12" t="s">
        <v>21</v>
      </c>
      <c r="T12" s="4" t="s">
        <v>23</v>
      </c>
      <c r="U12">
        <v>1</v>
      </c>
      <c r="V12" t="s">
        <v>26</v>
      </c>
      <c r="W12">
        <v>1</v>
      </c>
      <c r="X12" t="s">
        <v>46</v>
      </c>
      <c r="Y12">
        <v>1</v>
      </c>
      <c r="Z12" t="s">
        <v>46</v>
      </c>
      <c r="AA12" t="s">
        <v>64</v>
      </c>
      <c r="AB12" t="s">
        <v>46</v>
      </c>
    </row>
    <row r="13" spans="1:28" x14ac:dyDescent="0.35">
      <c r="A13" s="8" t="s">
        <v>1121</v>
      </c>
      <c r="B13" t="s">
        <v>66</v>
      </c>
      <c r="C13">
        <v>1979</v>
      </c>
      <c r="D13">
        <f t="shared" ca="1" si="0"/>
        <v>46</v>
      </c>
      <c r="E13" t="s">
        <v>6</v>
      </c>
      <c r="F13" t="s">
        <v>54</v>
      </c>
      <c r="G13" t="str">
        <f t="shared" si="1"/>
        <v>1.000.000–2.000.000</v>
      </c>
      <c r="H13" t="s">
        <v>139</v>
      </c>
      <c r="I13">
        <v>3</v>
      </c>
      <c r="J13" t="s">
        <v>8</v>
      </c>
      <c r="K13" t="s">
        <v>10</v>
      </c>
      <c r="L13" t="s">
        <v>11</v>
      </c>
      <c r="M13" t="s">
        <v>14</v>
      </c>
      <c r="N13" t="s">
        <v>37</v>
      </c>
      <c r="O13" t="s">
        <v>42</v>
      </c>
      <c r="P13" t="s">
        <v>15</v>
      </c>
      <c r="Q13" t="s">
        <v>17</v>
      </c>
      <c r="R13" t="s">
        <v>19</v>
      </c>
      <c r="S13" t="s">
        <v>21</v>
      </c>
      <c r="T13" s="4" t="s">
        <v>23</v>
      </c>
      <c r="U13">
        <v>1</v>
      </c>
      <c r="V13" t="s">
        <v>67</v>
      </c>
      <c r="W13">
        <v>1</v>
      </c>
      <c r="X13" t="s">
        <v>46</v>
      </c>
      <c r="Y13">
        <v>3</v>
      </c>
      <c r="Z13" t="s">
        <v>46</v>
      </c>
      <c r="AA13" t="s">
        <v>46</v>
      </c>
      <c r="AB13" t="s">
        <v>46</v>
      </c>
    </row>
    <row r="14" spans="1:28" x14ac:dyDescent="0.35">
      <c r="A14" s="8" t="s">
        <v>1122</v>
      </c>
      <c r="B14" t="s">
        <v>68</v>
      </c>
      <c r="C14">
        <v>1984</v>
      </c>
      <c r="D14">
        <f t="shared" ca="1" si="0"/>
        <v>41</v>
      </c>
      <c r="E14" t="s">
        <v>28</v>
      </c>
      <c r="F14" t="s">
        <v>54</v>
      </c>
      <c r="G14" t="str">
        <f t="shared" si="1"/>
        <v>1.000.000–2.000.000</v>
      </c>
      <c r="H14" t="s">
        <v>139</v>
      </c>
      <c r="I14">
        <v>3</v>
      </c>
      <c r="J14" t="s">
        <v>8</v>
      </c>
      <c r="K14" t="s">
        <v>10</v>
      </c>
      <c r="L14" t="s">
        <v>11</v>
      </c>
      <c r="M14" t="s">
        <v>14</v>
      </c>
      <c r="N14" t="s">
        <v>37</v>
      </c>
      <c r="O14" t="s">
        <v>42</v>
      </c>
      <c r="P14" t="s">
        <v>15</v>
      </c>
      <c r="Q14" t="s">
        <v>17</v>
      </c>
      <c r="R14" t="s">
        <v>19</v>
      </c>
      <c r="S14" t="s">
        <v>21</v>
      </c>
      <c r="T14" s="4" t="s">
        <v>23</v>
      </c>
      <c r="U14">
        <v>1</v>
      </c>
      <c r="V14" t="s">
        <v>67</v>
      </c>
      <c r="W14">
        <v>1</v>
      </c>
      <c r="X14" t="s">
        <v>46</v>
      </c>
      <c r="Y14">
        <v>3</v>
      </c>
      <c r="Z14" t="s">
        <v>46</v>
      </c>
      <c r="AA14" t="s">
        <v>46</v>
      </c>
      <c r="AB14" t="s">
        <v>46</v>
      </c>
    </row>
    <row r="15" spans="1:28" x14ac:dyDescent="0.35">
      <c r="A15" s="8" t="s">
        <v>1123</v>
      </c>
      <c r="B15" t="s">
        <v>69</v>
      </c>
      <c r="C15">
        <v>1984</v>
      </c>
      <c r="D15">
        <f t="shared" ca="1" si="0"/>
        <v>41</v>
      </c>
      <c r="E15" t="s">
        <v>6</v>
      </c>
      <c r="F15" t="s">
        <v>29</v>
      </c>
      <c r="G15" t="str">
        <f t="shared" si="1"/>
        <v>500.000–1.000.000</v>
      </c>
      <c r="H15" t="s">
        <v>7</v>
      </c>
      <c r="I15">
        <v>4</v>
      </c>
      <c r="J15" t="s">
        <v>8</v>
      </c>
      <c r="K15" t="s">
        <v>38</v>
      </c>
      <c r="L15" t="s">
        <v>11</v>
      </c>
      <c r="M15" t="s">
        <v>57</v>
      </c>
      <c r="N15" t="s">
        <v>58</v>
      </c>
      <c r="O15" t="s">
        <v>42</v>
      </c>
      <c r="P15" t="s">
        <v>15</v>
      </c>
      <c r="Q15" t="s">
        <v>17</v>
      </c>
      <c r="R15" t="s">
        <v>43</v>
      </c>
      <c r="S15" t="s">
        <v>21</v>
      </c>
      <c r="T15" s="4" t="s">
        <v>23</v>
      </c>
      <c r="U15">
        <v>1</v>
      </c>
      <c r="V15" t="s">
        <v>26</v>
      </c>
      <c r="W15">
        <v>1</v>
      </c>
      <c r="X15" t="s">
        <v>46</v>
      </c>
      <c r="Y15">
        <v>4</v>
      </c>
      <c r="Z15" t="s">
        <v>46</v>
      </c>
      <c r="AA15" t="s">
        <v>46</v>
      </c>
      <c r="AB15" t="s">
        <v>46</v>
      </c>
    </row>
    <row r="16" spans="1:28" x14ac:dyDescent="0.35">
      <c r="A16" s="8" t="s">
        <v>1124</v>
      </c>
      <c r="B16" t="s">
        <v>70</v>
      </c>
      <c r="C16">
        <v>1979</v>
      </c>
      <c r="D16">
        <f t="shared" ca="1" si="0"/>
        <v>46</v>
      </c>
      <c r="E16" t="s">
        <v>28</v>
      </c>
      <c r="F16" t="s">
        <v>29</v>
      </c>
      <c r="G16" t="str">
        <f t="shared" si="1"/>
        <v>&lt;500.000</v>
      </c>
      <c r="H16" t="s">
        <v>63</v>
      </c>
      <c r="I16">
        <v>4</v>
      </c>
      <c r="J16" t="s">
        <v>8</v>
      </c>
      <c r="K16" t="s">
        <v>38</v>
      </c>
      <c r="L16" t="s">
        <v>11</v>
      </c>
      <c r="M16" t="s">
        <v>57</v>
      </c>
      <c r="N16" t="s">
        <v>58</v>
      </c>
      <c r="O16" t="s">
        <v>42</v>
      </c>
      <c r="P16" t="s">
        <v>15</v>
      </c>
      <c r="Q16" t="s">
        <v>17</v>
      </c>
      <c r="R16" t="s">
        <v>43</v>
      </c>
      <c r="S16" t="s">
        <v>21</v>
      </c>
      <c r="T16" s="4" t="s">
        <v>23</v>
      </c>
      <c r="U16">
        <v>1</v>
      </c>
      <c r="V16" t="s">
        <v>26</v>
      </c>
      <c r="W16">
        <v>1</v>
      </c>
      <c r="X16" t="s">
        <v>46</v>
      </c>
      <c r="Y16">
        <v>4</v>
      </c>
      <c r="Z16" t="s">
        <v>46</v>
      </c>
      <c r="AA16" t="s">
        <v>46</v>
      </c>
      <c r="AB16" t="s">
        <v>46</v>
      </c>
    </row>
    <row r="17" spans="1:28" x14ac:dyDescent="0.35">
      <c r="A17" s="8" t="s">
        <v>1125</v>
      </c>
      <c r="B17" t="s">
        <v>71</v>
      </c>
      <c r="C17">
        <v>1978</v>
      </c>
      <c r="D17">
        <f t="shared" ca="1" si="0"/>
        <v>47</v>
      </c>
      <c r="E17" t="s">
        <v>6</v>
      </c>
      <c r="F17" t="s">
        <v>29</v>
      </c>
      <c r="G17" t="str">
        <f t="shared" si="1"/>
        <v>500.000–1.000.000</v>
      </c>
      <c r="H17" t="s">
        <v>7</v>
      </c>
      <c r="I17">
        <v>2</v>
      </c>
      <c r="J17" t="s">
        <v>72</v>
      </c>
      <c r="K17" t="s">
        <v>38</v>
      </c>
      <c r="L17" t="s">
        <v>11</v>
      </c>
      <c r="M17" t="s">
        <v>40</v>
      </c>
      <c r="N17" t="s">
        <v>37</v>
      </c>
      <c r="O17" t="s">
        <v>42</v>
      </c>
      <c r="P17" t="s">
        <v>15</v>
      </c>
      <c r="Q17" t="s">
        <v>17</v>
      </c>
      <c r="R17" t="s">
        <v>43</v>
      </c>
      <c r="S17" t="s">
        <v>21</v>
      </c>
      <c r="T17" s="4" t="s">
        <v>23</v>
      </c>
      <c r="U17">
        <v>1</v>
      </c>
      <c r="V17" t="s">
        <v>73</v>
      </c>
      <c r="W17">
        <v>0</v>
      </c>
      <c r="X17" t="s">
        <v>46</v>
      </c>
      <c r="Y17">
        <v>0</v>
      </c>
      <c r="Z17" t="s">
        <v>46</v>
      </c>
      <c r="AA17" t="s">
        <v>46</v>
      </c>
      <c r="AB17" t="s">
        <v>74</v>
      </c>
    </row>
    <row r="18" spans="1:28" x14ac:dyDescent="0.35">
      <c r="A18" s="8" t="s">
        <v>1126</v>
      </c>
      <c r="B18" t="s">
        <v>75</v>
      </c>
      <c r="C18">
        <v>1991</v>
      </c>
      <c r="D18">
        <f t="shared" ca="1" si="0"/>
        <v>34</v>
      </c>
      <c r="E18" t="s">
        <v>6</v>
      </c>
      <c r="F18" t="s">
        <v>29</v>
      </c>
      <c r="G18" t="str">
        <f t="shared" si="1"/>
        <v>&lt;500.000</v>
      </c>
      <c r="H18" t="s">
        <v>63</v>
      </c>
      <c r="I18">
        <v>1</v>
      </c>
      <c r="J18" t="s">
        <v>8</v>
      </c>
      <c r="K18" t="s">
        <v>38</v>
      </c>
      <c r="L18" t="s">
        <v>11</v>
      </c>
      <c r="M18" t="s">
        <v>57</v>
      </c>
      <c r="N18" t="s">
        <v>58</v>
      </c>
      <c r="O18" t="s">
        <v>42</v>
      </c>
      <c r="P18" t="s">
        <v>15</v>
      </c>
      <c r="Q18" t="s">
        <v>17</v>
      </c>
      <c r="R18" t="s">
        <v>43</v>
      </c>
      <c r="S18" t="s">
        <v>21</v>
      </c>
      <c r="T18" s="4" t="s">
        <v>73</v>
      </c>
      <c r="U18">
        <v>0</v>
      </c>
      <c r="V18" t="s">
        <v>76</v>
      </c>
      <c r="W18">
        <v>1</v>
      </c>
      <c r="X18" t="s">
        <v>46</v>
      </c>
      <c r="Y18">
        <v>1</v>
      </c>
      <c r="Z18" t="s">
        <v>46</v>
      </c>
      <c r="AA18" t="s">
        <v>46</v>
      </c>
      <c r="AB18" t="s">
        <v>46</v>
      </c>
    </row>
    <row r="19" spans="1:28" x14ac:dyDescent="0.35">
      <c r="A19" s="8" t="s">
        <v>1127</v>
      </c>
      <c r="B19" t="s">
        <v>77</v>
      </c>
      <c r="C19">
        <v>1997</v>
      </c>
      <c r="D19">
        <f t="shared" ca="1" si="0"/>
        <v>28</v>
      </c>
      <c r="E19" t="s">
        <v>28</v>
      </c>
      <c r="F19" t="s">
        <v>137</v>
      </c>
      <c r="G19" t="str">
        <f t="shared" si="1"/>
        <v>500.000–1.000.000</v>
      </c>
      <c r="H19" t="s">
        <v>30</v>
      </c>
      <c r="I19">
        <v>1</v>
      </c>
      <c r="J19" t="s">
        <v>8</v>
      </c>
      <c r="K19" t="s">
        <v>38</v>
      </c>
      <c r="L19" t="s">
        <v>11</v>
      </c>
      <c r="M19" t="s">
        <v>57</v>
      </c>
      <c r="N19" t="s">
        <v>58</v>
      </c>
      <c r="O19" t="s">
        <v>42</v>
      </c>
      <c r="P19" t="s">
        <v>15</v>
      </c>
      <c r="Q19" t="s">
        <v>17</v>
      </c>
      <c r="R19" t="s">
        <v>43</v>
      </c>
      <c r="S19" t="s">
        <v>21</v>
      </c>
      <c r="T19" s="4" t="s">
        <v>73</v>
      </c>
      <c r="U19">
        <v>0</v>
      </c>
      <c r="V19" t="s">
        <v>76</v>
      </c>
      <c r="W19">
        <v>1</v>
      </c>
      <c r="X19" t="s">
        <v>46</v>
      </c>
      <c r="Y19">
        <v>1</v>
      </c>
      <c r="Z19" t="s">
        <v>46</v>
      </c>
      <c r="AA19" t="s">
        <v>46</v>
      </c>
      <c r="AB19" t="s">
        <v>46</v>
      </c>
    </row>
    <row r="20" spans="1:28" x14ac:dyDescent="0.35">
      <c r="A20" s="8" t="s">
        <v>1128</v>
      </c>
      <c r="B20" t="s">
        <v>78</v>
      </c>
      <c r="C20">
        <v>1957</v>
      </c>
      <c r="D20">
        <f t="shared" ca="1" si="0"/>
        <v>68</v>
      </c>
      <c r="E20" t="s">
        <v>6</v>
      </c>
      <c r="F20" t="s">
        <v>55</v>
      </c>
      <c r="G20" t="str">
        <f t="shared" si="1"/>
        <v>500.000–1.000.000</v>
      </c>
      <c r="H20" t="s">
        <v>30</v>
      </c>
      <c r="I20">
        <v>0</v>
      </c>
      <c r="J20" t="s">
        <v>8</v>
      </c>
      <c r="K20" t="s">
        <v>38</v>
      </c>
      <c r="L20" t="s">
        <v>49</v>
      </c>
      <c r="M20" t="s">
        <v>40</v>
      </c>
      <c r="N20" t="s">
        <v>37</v>
      </c>
      <c r="O20" t="s">
        <v>42</v>
      </c>
      <c r="P20" t="s">
        <v>15</v>
      </c>
      <c r="Q20" t="s">
        <v>17</v>
      </c>
      <c r="R20" t="s">
        <v>43</v>
      </c>
      <c r="S20" t="s">
        <v>21</v>
      </c>
      <c r="T20" s="4" t="s">
        <v>73</v>
      </c>
      <c r="U20">
        <v>0</v>
      </c>
      <c r="V20" t="s">
        <v>73</v>
      </c>
      <c r="W20">
        <v>0</v>
      </c>
      <c r="X20" t="s">
        <v>46</v>
      </c>
      <c r="Y20">
        <v>0</v>
      </c>
      <c r="Z20" t="s">
        <v>46</v>
      </c>
      <c r="AA20" t="s">
        <v>44</v>
      </c>
      <c r="AB20" t="s">
        <v>74</v>
      </c>
    </row>
    <row r="21" spans="1:28" x14ac:dyDescent="0.35">
      <c r="A21" s="8" t="s">
        <v>786</v>
      </c>
      <c r="B21" t="s">
        <v>79</v>
      </c>
      <c r="C21">
        <v>1965</v>
      </c>
      <c r="D21">
        <f t="shared" ca="1" si="0"/>
        <v>60</v>
      </c>
      <c r="E21" t="s">
        <v>6</v>
      </c>
      <c r="F21" t="s">
        <v>29</v>
      </c>
      <c r="G21" t="str">
        <f t="shared" si="1"/>
        <v>500.000–1.000.000</v>
      </c>
      <c r="H21" t="s">
        <v>139</v>
      </c>
      <c r="I21">
        <v>2</v>
      </c>
      <c r="J21" t="s">
        <v>8</v>
      </c>
      <c r="K21" t="s">
        <v>38</v>
      </c>
      <c r="L21" t="s">
        <v>11</v>
      </c>
      <c r="M21" t="s">
        <v>40</v>
      </c>
      <c r="N21" t="s">
        <v>37</v>
      </c>
      <c r="O21" t="s">
        <v>42</v>
      </c>
      <c r="P21" t="s">
        <v>15</v>
      </c>
      <c r="Q21" t="s">
        <v>17</v>
      </c>
      <c r="R21" t="s">
        <v>43</v>
      </c>
      <c r="S21" t="s">
        <v>21</v>
      </c>
      <c r="T21" s="4" t="s">
        <v>73</v>
      </c>
      <c r="U21">
        <v>0</v>
      </c>
      <c r="V21" t="s">
        <v>76</v>
      </c>
      <c r="W21">
        <v>1</v>
      </c>
      <c r="X21" t="s">
        <v>46</v>
      </c>
      <c r="Y21">
        <v>1</v>
      </c>
      <c r="Z21" t="s">
        <v>46</v>
      </c>
      <c r="AA21" t="s">
        <v>44</v>
      </c>
      <c r="AB21" t="s">
        <v>74</v>
      </c>
    </row>
    <row r="22" spans="1:28" x14ac:dyDescent="0.35">
      <c r="A22" s="8" t="s">
        <v>1129</v>
      </c>
      <c r="B22" t="s">
        <v>80</v>
      </c>
      <c r="C22">
        <v>1990</v>
      </c>
      <c r="D22">
        <f t="shared" ca="1" si="0"/>
        <v>35</v>
      </c>
      <c r="E22" t="s">
        <v>6</v>
      </c>
      <c r="F22" t="s">
        <v>137</v>
      </c>
      <c r="G22" t="str">
        <f t="shared" si="1"/>
        <v>500.000–1.000.000</v>
      </c>
      <c r="H22" t="s">
        <v>7</v>
      </c>
      <c r="I22">
        <v>1</v>
      </c>
      <c r="J22" t="s">
        <v>48</v>
      </c>
      <c r="K22" t="s">
        <v>38</v>
      </c>
      <c r="L22" t="s">
        <v>49</v>
      </c>
      <c r="M22" t="s">
        <v>40</v>
      </c>
      <c r="N22" t="s">
        <v>37</v>
      </c>
      <c r="O22" t="s">
        <v>42</v>
      </c>
      <c r="P22" t="s">
        <v>15</v>
      </c>
      <c r="Q22" t="s">
        <v>17</v>
      </c>
      <c r="R22" t="s">
        <v>43</v>
      </c>
      <c r="S22" t="s">
        <v>21</v>
      </c>
      <c r="T22" s="4" t="s">
        <v>23</v>
      </c>
      <c r="U22">
        <v>1</v>
      </c>
      <c r="V22" t="s">
        <v>26</v>
      </c>
      <c r="W22">
        <v>1</v>
      </c>
      <c r="X22" t="s">
        <v>46</v>
      </c>
      <c r="Y22">
        <v>1</v>
      </c>
      <c r="Z22" t="s">
        <v>46</v>
      </c>
      <c r="AA22" t="s">
        <v>46</v>
      </c>
      <c r="AB22" t="s">
        <v>46</v>
      </c>
    </row>
    <row r="23" spans="1:28" x14ac:dyDescent="0.35">
      <c r="A23" s="8" t="s">
        <v>1130</v>
      </c>
      <c r="B23" t="s">
        <v>81</v>
      </c>
      <c r="C23">
        <v>1996</v>
      </c>
      <c r="D23">
        <f t="shared" ca="1" si="0"/>
        <v>29</v>
      </c>
      <c r="E23" t="s">
        <v>28</v>
      </c>
      <c r="F23" t="s">
        <v>29</v>
      </c>
      <c r="G23" t="str">
        <f t="shared" si="1"/>
        <v>500.000–1.000.000</v>
      </c>
      <c r="H23" t="s">
        <v>139</v>
      </c>
      <c r="I23">
        <v>1</v>
      </c>
      <c r="J23" t="s">
        <v>48</v>
      </c>
      <c r="K23" t="s">
        <v>38</v>
      </c>
      <c r="L23" t="s">
        <v>49</v>
      </c>
      <c r="M23" t="s">
        <v>40</v>
      </c>
      <c r="N23" t="s">
        <v>37</v>
      </c>
      <c r="O23" t="s">
        <v>42</v>
      </c>
      <c r="P23" t="s">
        <v>15</v>
      </c>
      <c r="Q23" t="s">
        <v>17</v>
      </c>
      <c r="R23" t="s">
        <v>43</v>
      </c>
      <c r="S23" t="s">
        <v>21</v>
      </c>
      <c r="T23" s="4" t="s">
        <v>23</v>
      </c>
      <c r="U23">
        <v>1</v>
      </c>
      <c r="V23" t="s">
        <v>26</v>
      </c>
      <c r="W23">
        <v>1</v>
      </c>
      <c r="X23" t="s">
        <v>46</v>
      </c>
      <c r="Y23">
        <v>1</v>
      </c>
      <c r="Z23" t="s">
        <v>46</v>
      </c>
      <c r="AA23" t="s">
        <v>46</v>
      </c>
      <c r="AB23" t="s">
        <v>46</v>
      </c>
    </row>
    <row r="24" spans="1:28" x14ac:dyDescent="0.35">
      <c r="A24" s="8" t="s">
        <v>1131</v>
      </c>
      <c r="B24" t="s">
        <v>82</v>
      </c>
      <c r="C24">
        <v>1975</v>
      </c>
      <c r="D24">
        <f t="shared" ca="1" si="0"/>
        <v>50</v>
      </c>
      <c r="E24" t="s">
        <v>6</v>
      </c>
      <c r="F24" t="s">
        <v>137</v>
      </c>
      <c r="G24" t="str">
        <f t="shared" si="1"/>
        <v>500.000–1.000.000</v>
      </c>
      <c r="H24" t="s">
        <v>30</v>
      </c>
      <c r="I24">
        <v>2</v>
      </c>
      <c r="J24" t="s">
        <v>48</v>
      </c>
      <c r="K24" t="s">
        <v>38</v>
      </c>
      <c r="L24" t="s">
        <v>39</v>
      </c>
      <c r="M24" t="s">
        <v>57</v>
      </c>
      <c r="N24" t="s">
        <v>58</v>
      </c>
      <c r="O24" t="s">
        <v>42</v>
      </c>
      <c r="P24" t="s">
        <v>15</v>
      </c>
      <c r="Q24" t="s">
        <v>17</v>
      </c>
      <c r="R24" t="s">
        <v>43</v>
      </c>
      <c r="S24" t="s">
        <v>21</v>
      </c>
      <c r="T24" s="4" t="s">
        <v>23</v>
      </c>
      <c r="U24">
        <v>1</v>
      </c>
      <c r="V24" t="s">
        <v>76</v>
      </c>
      <c r="W24">
        <v>1</v>
      </c>
      <c r="X24" t="s">
        <v>46</v>
      </c>
      <c r="Y24">
        <v>2</v>
      </c>
      <c r="Z24" t="s">
        <v>46</v>
      </c>
      <c r="AA24" t="s">
        <v>46</v>
      </c>
      <c r="AB24" t="s">
        <v>46</v>
      </c>
    </row>
    <row r="25" spans="1:28" x14ac:dyDescent="0.35">
      <c r="A25" s="8" t="s">
        <v>1132</v>
      </c>
      <c r="B25" t="s">
        <v>83</v>
      </c>
      <c r="C25">
        <v>1992</v>
      </c>
      <c r="D25">
        <f t="shared" ca="1" si="0"/>
        <v>33</v>
      </c>
      <c r="E25" t="s">
        <v>6</v>
      </c>
      <c r="F25" t="s">
        <v>137</v>
      </c>
      <c r="G25" t="str">
        <f t="shared" si="1"/>
        <v>500.000–1.000.000</v>
      </c>
      <c r="H25" t="s">
        <v>7</v>
      </c>
      <c r="I25">
        <v>2</v>
      </c>
      <c r="J25" t="s">
        <v>8</v>
      </c>
      <c r="K25" t="s">
        <v>10</v>
      </c>
      <c r="L25" t="s">
        <v>11</v>
      </c>
      <c r="M25" t="s">
        <v>40</v>
      </c>
      <c r="N25" t="s">
        <v>37</v>
      </c>
      <c r="O25" t="s">
        <v>42</v>
      </c>
      <c r="P25" t="s">
        <v>15</v>
      </c>
      <c r="Q25" t="s">
        <v>17</v>
      </c>
      <c r="R25" t="s">
        <v>43</v>
      </c>
      <c r="S25" t="s">
        <v>21</v>
      </c>
      <c r="T25" s="4" t="s">
        <v>84</v>
      </c>
      <c r="U25" s="4">
        <v>1</v>
      </c>
      <c r="V25" s="4" t="s">
        <v>76</v>
      </c>
      <c r="W25">
        <v>1</v>
      </c>
      <c r="X25" t="s">
        <v>46</v>
      </c>
      <c r="Y25">
        <v>0</v>
      </c>
      <c r="Z25" t="s">
        <v>64</v>
      </c>
      <c r="AA25" t="s">
        <v>46</v>
      </c>
      <c r="AB25" t="s">
        <v>46</v>
      </c>
    </row>
    <row r="26" spans="1:28" x14ac:dyDescent="0.35">
      <c r="A26" s="8" t="s">
        <v>1133</v>
      </c>
      <c r="B26" t="s">
        <v>85</v>
      </c>
      <c r="C26">
        <v>2000</v>
      </c>
      <c r="D26">
        <f t="shared" ca="1" si="0"/>
        <v>25</v>
      </c>
      <c r="E26" t="s">
        <v>28</v>
      </c>
      <c r="F26" t="s">
        <v>29</v>
      </c>
      <c r="G26" t="str">
        <f t="shared" si="1"/>
        <v>500.000–1.000.000</v>
      </c>
      <c r="H26" t="s">
        <v>139</v>
      </c>
      <c r="I26">
        <v>2</v>
      </c>
      <c r="J26" t="s">
        <v>8</v>
      </c>
      <c r="K26" t="s">
        <v>10</v>
      </c>
      <c r="L26" t="s">
        <v>11</v>
      </c>
      <c r="M26" t="s">
        <v>40</v>
      </c>
      <c r="N26" t="s">
        <v>37</v>
      </c>
      <c r="O26" t="s">
        <v>42</v>
      </c>
      <c r="P26" t="s">
        <v>15</v>
      </c>
      <c r="Q26" t="s">
        <v>17</v>
      </c>
      <c r="R26" t="s">
        <v>43</v>
      </c>
      <c r="S26" t="s">
        <v>21</v>
      </c>
      <c r="T26" s="4" t="s">
        <v>84</v>
      </c>
      <c r="U26" s="4">
        <v>1</v>
      </c>
      <c r="V26" s="4" t="s">
        <v>76</v>
      </c>
      <c r="W26">
        <v>1</v>
      </c>
      <c r="X26" t="s">
        <v>46</v>
      </c>
      <c r="Y26">
        <v>0</v>
      </c>
      <c r="Z26" t="s">
        <v>64</v>
      </c>
      <c r="AA26" t="s">
        <v>46</v>
      </c>
      <c r="AB26" t="s">
        <v>46</v>
      </c>
    </row>
    <row r="27" spans="1:28" x14ac:dyDescent="0.35">
      <c r="A27" s="8" t="s">
        <v>1134</v>
      </c>
      <c r="B27" t="s">
        <v>86</v>
      </c>
      <c r="C27">
        <v>1979</v>
      </c>
      <c r="D27">
        <f t="shared" ca="1" si="0"/>
        <v>46</v>
      </c>
      <c r="E27" t="s">
        <v>6</v>
      </c>
      <c r="F27" t="s">
        <v>29</v>
      </c>
      <c r="G27" t="str">
        <f t="shared" si="1"/>
        <v>&lt;500.000</v>
      </c>
      <c r="H27" t="s">
        <v>30</v>
      </c>
      <c r="I27">
        <v>0</v>
      </c>
      <c r="J27" t="s">
        <v>48</v>
      </c>
      <c r="K27" t="s">
        <v>38</v>
      </c>
      <c r="L27" t="s">
        <v>11</v>
      </c>
      <c r="M27" t="s">
        <v>40</v>
      </c>
      <c r="N27" t="s">
        <v>58</v>
      </c>
      <c r="O27" t="s">
        <v>42</v>
      </c>
      <c r="P27" t="s">
        <v>15</v>
      </c>
      <c r="Q27" t="s">
        <v>17</v>
      </c>
      <c r="R27" t="s">
        <v>87</v>
      </c>
      <c r="S27" t="s">
        <v>21</v>
      </c>
      <c r="T27" s="4" t="s">
        <v>73</v>
      </c>
      <c r="U27" s="4">
        <v>0</v>
      </c>
      <c r="V27" s="4" t="s">
        <v>73</v>
      </c>
      <c r="W27">
        <v>0</v>
      </c>
      <c r="X27" t="s">
        <v>46</v>
      </c>
      <c r="Y27">
        <v>0</v>
      </c>
      <c r="Z27" t="s">
        <v>46</v>
      </c>
      <c r="AA27" t="s">
        <v>46</v>
      </c>
      <c r="AB27" t="s">
        <v>46</v>
      </c>
    </row>
    <row r="28" spans="1:28" x14ac:dyDescent="0.35">
      <c r="A28" s="8" t="s">
        <v>1135</v>
      </c>
      <c r="B28" t="s">
        <v>88</v>
      </c>
      <c r="C28">
        <v>1984</v>
      </c>
      <c r="D28">
        <f t="shared" ca="1" si="0"/>
        <v>41</v>
      </c>
      <c r="E28" t="s">
        <v>6</v>
      </c>
      <c r="F28" t="s">
        <v>29</v>
      </c>
      <c r="G28" t="str">
        <f t="shared" si="1"/>
        <v>&lt;500.000</v>
      </c>
      <c r="H28" t="s">
        <v>63</v>
      </c>
      <c r="I28">
        <v>4</v>
      </c>
      <c r="J28" t="s">
        <v>8</v>
      </c>
      <c r="K28" t="s">
        <v>38</v>
      </c>
      <c r="L28" t="s">
        <v>11</v>
      </c>
      <c r="M28" t="s">
        <v>57</v>
      </c>
      <c r="N28" t="s">
        <v>58</v>
      </c>
      <c r="O28" t="s">
        <v>89</v>
      </c>
      <c r="P28" t="s">
        <v>15</v>
      </c>
      <c r="Q28" t="s">
        <v>17</v>
      </c>
      <c r="R28" t="s">
        <v>43</v>
      </c>
      <c r="S28" t="s">
        <v>21</v>
      </c>
      <c r="T28" s="4" t="s">
        <v>73</v>
      </c>
      <c r="U28" s="4">
        <v>0</v>
      </c>
      <c r="V28" s="4" t="s">
        <v>73</v>
      </c>
      <c r="W28">
        <v>0</v>
      </c>
      <c r="X28" t="s">
        <v>46</v>
      </c>
      <c r="Y28">
        <v>2</v>
      </c>
      <c r="Z28" t="s">
        <v>44</v>
      </c>
      <c r="AA28" t="s">
        <v>46</v>
      </c>
      <c r="AB28" t="s">
        <v>46</v>
      </c>
    </row>
    <row r="29" spans="1:28" x14ac:dyDescent="0.35">
      <c r="A29" s="8" t="s">
        <v>1136</v>
      </c>
      <c r="B29" t="s">
        <v>90</v>
      </c>
      <c r="C29">
        <v>1990</v>
      </c>
      <c r="D29">
        <f t="shared" ca="1" si="0"/>
        <v>35</v>
      </c>
      <c r="E29" t="s">
        <v>28</v>
      </c>
      <c r="F29" t="s">
        <v>29</v>
      </c>
      <c r="G29" t="str">
        <f t="shared" si="1"/>
        <v>&lt;500.000</v>
      </c>
      <c r="H29" t="s">
        <v>63</v>
      </c>
      <c r="I29">
        <v>4</v>
      </c>
      <c r="J29" t="s">
        <v>8</v>
      </c>
      <c r="K29" t="s">
        <v>38</v>
      </c>
      <c r="L29" t="s">
        <v>11</v>
      </c>
      <c r="M29" t="s">
        <v>57</v>
      </c>
      <c r="N29" t="s">
        <v>58</v>
      </c>
      <c r="O29" t="s">
        <v>89</v>
      </c>
      <c r="P29" t="s">
        <v>15</v>
      </c>
      <c r="Q29" t="s">
        <v>17</v>
      </c>
      <c r="R29" t="s">
        <v>43</v>
      </c>
      <c r="S29" t="s">
        <v>21</v>
      </c>
      <c r="T29" s="4" t="s">
        <v>73</v>
      </c>
      <c r="U29" s="4">
        <v>0</v>
      </c>
      <c r="V29" s="4" t="s">
        <v>73</v>
      </c>
      <c r="W29">
        <v>0</v>
      </c>
      <c r="X29" t="s">
        <v>46</v>
      </c>
      <c r="Y29">
        <v>2</v>
      </c>
      <c r="Z29" t="s">
        <v>44</v>
      </c>
      <c r="AA29" t="s">
        <v>46</v>
      </c>
      <c r="AB29" t="s">
        <v>46</v>
      </c>
    </row>
    <row r="30" spans="1:28" x14ac:dyDescent="0.35">
      <c r="A30" s="8" t="s">
        <v>1137</v>
      </c>
      <c r="B30" t="s">
        <v>91</v>
      </c>
      <c r="C30">
        <v>1981</v>
      </c>
      <c r="D30">
        <f t="shared" ca="1" si="0"/>
        <v>44</v>
      </c>
      <c r="E30" t="s">
        <v>6</v>
      </c>
      <c r="F30" t="s">
        <v>54</v>
      </c>
      <c r="G30" t="str">
        <f t="shared" si="1"/>
        <v>1.000.000–2.000.000</v>
      </c>
      <c r="H30" t="s">
        <v>139</v>
      </c>
      <c r="I30">
        <v>3</v>
      </c>
      <c r="J30" t="s">
        <v>48</v>
      </c>
      <c r="K30" t="s">
        <v>38</v>
      </c>
      <c r="L30" t="s">
        <v>49</v>
      </c>
      <c r="M30" t="s">
        <v>57</v>
      </c>
      <c r="N30" t="s">
        <v>58</v>
      </c>
      <c r="O30" t="s">
        <v>42</v>
      </c>
      <c r="P30" t="s">
        <v>15</v>
      </c>
      <c r="Q30" t="s">
        <v>17</v>
      </c>
      <c r="R30" t="s">
        <v>19</v>
      </c>
      <c r="S30" t="s">
        <v>21</v>
      </c>
      <c r="T30" s="4" t="s">
        <v>92</v>
      </c>
      <c r="U30" s="4">
        <v>1</v>
      </c>
      <c r="V30" s="4" t="s">
        <v>76</v>
      </c>
      <c r="W30">
        <v>1</v>
      </c>
      <c r="X30" t="s">
        <v>46</v>
      </c>
      <c r="Y30">
        <v>2</v>
      </c>
      <c r="Z30" t="s">
        <v>46</v>
      </c>
      <c r="AA30" t="s">
        <v>46</v>
      </c>
      <c r="AB30" t="s">
        <v>46</v>
      </c>
    </row>
    <row r="31" spans="1:28" x14ac:dyDescent="0.35">
      <c r="A31" s="8" t="s">
        <v>787</v>
      </c>
      <c r="B31" t="s">
        <v>93</v>
      </c>
      <c r="C31">
        <v>1979</v>
      </c>
      <c r="D31">
        <f t="shared" ca="1" si="0"/>
        <v>46</v>
      </c>
      <c r="E31" t="s">
        <v>6</v>
      </c>
      <c r="F31" t="s">
        <v>137</v>
      </c>
      <c r="G31" t="str">
        <f t="shared" si="1"/>
        <v>500.000–1.000.000</v>
      </c>
      <c r="H31" t="s">
        <v>7</v>
      </c>
      <c r="I31">
        <v>4</v>
      </c>
      <c r="J31" t="s">
        <v>48</v>
      </c>
      <c r="K31" t="s">
        <v>38</v>
      </c>
      <c r="L31" t="s">
        <v>11</v>
      </c>
      <c r="M31" t="s">
        <v>40</v>
      </c>
      <c r="N31" t="s">
        <v>37</v>
      </c>
      <c r="O31" t="s">
        <v>42</v>
      </c>
      <c r="P31" t="s">
        <v>15</v>
      </c>
      <c r="Q31" t="s">
        <v>17</v>
      </c>
      <c r="R31" t="s">
        <v>43</v>
      </c>
      <c r="S31" t="s">
        <v>21</v>
      </c>
      <c r="T31" s="4" t="s">
        <v>73</v>
      </c>
      <c r="U31" s="4">
        <v>0</v>
      </c>
      <c r="V31" s="4" t="s">
        <v>76</v>
      </c>
      <c r="W31">
        <v>1</v>
      </c>
      <c r="X31" t="s">
        <v>46</v>
      </c>
      <c r="Y31">
        <v>1</v>
      </c>
      <c r="Z31" t="s">
        <v>46</v>
      </c>
      <c r="AA31" t="s">
        <v>46</v>
      </c>
      <c r="AB31" t="s">
        <v>46</v>
      </c>
    </row>
    <row r="32" spans="1:28" x14ac:dyDescent="0.35">
      <c r="A32" s="8" t="s">
        <v>1138</v>
      </c>
      <c r="B32" t="s">
        <v>94</v>
      </c>
      <c r="C32">
        <v>1972</v>
      </c>
      <c r="D32">
        <f t="shared" ca="1" si="0"/>
        <v>53</v>
      </c>
      <c r="E32" t="s">
        <v>6</v>
      </c>
      <c r="F32" t="s">
        <v>55</v>
      </c>
      <c r="G32" t="str">
        <f t="shared" si="1"/>
        <v>1.000.000–2.000.000</v>
      </c>
      <c r="H32" t="s">
        <v>139</v>
      </c>
      <c r="I32">
        <v>5</v>
      </c>
      <c r="J32" t="s">
        <v>48</v>
      </c>
      <c r="K32" t="s">
        <v>38</v>
      </c>
      <c r="L32" t="s">
        <v>49</v>
      </c>
      <c r="M32" t="s">
        <v>57</v>
      </c>
      <c r="N32" t="s">
        <v>58</v>
      </c>
      <c r="O32" t="s">
        <v>42</v>
      </c>
      <c r="P32" t="s">
        <v>15</v>
      </c>
      <c r="Q32" t="s">
        <v>17</v>
      </c>
      <c r="R32" t="s">
        <v>43</v>
      </c>
      <c r="S32" t="s">
        <v>21</v>
      </c>
      <c r="T32" s="4" t="s">
        <v>23</v>
      </c>
      <c r="U32" s="4">
        <v>1</v>
      </c>
      <c r="V32" s="4" t="s">
        <v>26</v>
      </c>
      <c r="W32" s="4">
        <v>1</v>
      </c>
      <c r="X32" s="4" t="s">
        <v>46</v>
      </c>
      <c r="Y32">
        <v>5</v>
      </c>
      <c r="Z32" t="s">
        <v>46</v>
      </c>
      <c r="AA32" t="s">
        <v>46</v>
      </c>
      <c r="AB32" t="s">
        <v>46</v>
      </c>
    </row>
    <row r="33" spans="1:28" x14ac:dyDescent="0.35">
      <c r="A33" s="8" t="s">
        <v>1139</v>
      </c>
      <c r="B33" t="s">
        <v>95</v>
      </c>
      <c r="C33">
        <v>1982</v>
      </c>
      <c r="D33">
        <f t="shared" ca="1" si="0"/>
        <v>43</v>
      </c>
      <c r="E33" t="s">
        <v>28</v>
      </c>
      <c r="F33" t="s">
        <v>29</v>
      </c>
      <c r="G33" t="str">
        <f t="shared" si="1"/>
        <v>500.000–1.000.000</v>
      </c>
      <c r="H33" t="s">
        <v>7</v>
      </c>
      <c r="I33">
        <v>5</v>
      </c>
      <c r="J33" t="s">
        <v>48</v>
      </c>
      <c r="K33" t="s">
        <v>38</v>
      </c>
      <c r="L33" t="s">
        <v>49</v>
      </c>
      <c r="M33" t="s">
        <v>57</v>
      </c>
      <c r="N33" t="s">
        <v>58</v>
      </c>
      <c r="O33" t="s">
        <v>42</v>
      </c>
      <c r="P33" t="s">
        <v>15</v>
      </c>
      <c r="Q33" t="s">
        <v>17</v>
      </c>
      <c r="R33" t="s">
        <v>43</v>
      </c>
      <c r="S33" t="s">
        <v>21</v>
      </c>
      <c r="T33" s="4" t="s">
        <v>23</v>
      </c>
      <c r="U33" s="4">
        <v>1</v>
      </c>
      <c r="V33" s="4" t="s">
        <v>26</v>
      </c>
      <c r="W33" s="4">
        <v>1</v>
      </c>
      <c r="X33" s="4" t="s">
        <v>46</v>
      </c>
      <c r="Y33">
        <v>5</v>
      </c>
      <c r="Z33" t="s">
        <v>46</v>
      </c>
      <c r="AA33" t="s">
        <v>46</v>
      </c>
      <c r="AB33" t="s">
        <v>46</v>
      </c>
    </row>
    <row r="34" spans="1:28" x14ac:dyDescent="0.35">
      <c r="A34" s="8" t="s">
        <v>1140</v>
      </c>
      <c r="B34" t="s">
        <v>96</v>
      </c>
      <c r="C34">
        <v>1985</v>
      </c>
      <c r="D34">
        <f t="shared" ca="1" si="0"/>
        <v>40</v>
      </c>
      <c r="E34" t="s">
        <v>6</v>
      </c>
      <c r="F34" t="s">
        <v>55</v>
      </c>
      <c r="G34" t="str">
        <f t="shared" si="1"/>
        <v>500.000–1.000.000</v>
      </c>
      <c r="H34" t="s">
        <v>7</v>
      </c>
      <c r="I34">
        <v>4</v>
      </c>
      <c r="J34" t="s">
        <v>72</v>
      </c>
      <c r="K34" t="s">
        <v>38</v>
      </c>
      <c r="L34" t="s">
        <v>49</v>
      </c>
      <c r="M34" t="s">
        <v>57</v>
      </c>
      <c r="N34" t="s">
        <v>58</v>
      </c>
      <c r="O34" t="s">
        <v>42</v>
      </c>
      <c r="P34" t="s">
        <v>15</v>
      </c>
      <c r="Q34" t="s">
        <v>17</v>
      </c>
      <c r="R34" t="s">
        <v>43</v>
      </c>
      <c r="S34" t="s">
        <v>21</v>
      </c>
      <c r="T34" s="4" t="s">
        <v>23</v>
      </c>
      <c r="U34" s="4">
        <v>1</v>
      </c>
      <c r="V34" s="4" t="s">
        <v>26</v>
      </c>
      <c r="W34" s="4">
        <v>1</v>
      </c>
      <c r="X34" s="4" t="s">
        <v>46</v>
      </c>
      <c r="Y34">
        <v>2</v>
      </c>
      <c r="Z34" t="s">
        <v>44</v>
      </c>
      <c r="AA34" t="s">
        <v>46</v>
      </c>
      <c r="AB34" t="s">
        <v>46</v>
      </c>
    </row>
    <row r="35" spans="1:28" x14ac:dyDescent="0.35">
      <c r="A35" s="8" t="s">
        <v>1141</v>
      </c>
      <c r="B35" t="s">
        <v>97</v>
      </c>
      <c r="C35">
        <v>1990</v>
      </c>
      <c r="D35">
        <f t="shared" ca="1" si="0"/>
        <v>35</v>
      </c>
      <c r="E35" t="s">
        <v>28</v>
      </c>
      <c r="F35" t="s">
        <v>29</v>
      </c>
      <c r="G35" t="str">
        <f t="shared" si="1"/>
        <v>&lt;500.000</v>
      </c>
      <c r="H35" t="s">
        <v>63</v>
      </c>
      <c r="I35">
        <v>4</v>
      </c>
      <c r="J35" t="s">
        <v>72</v>
      </c>
      <c r="K35" t="s">
        <v>38</v>
      </c>
      <c r="L35" t="s">
        <v>49</v>
      </c>
      <c r="M35" t="s">
        <v>57</v>
      </c>
      <c r="N35" t="s">
        <v>58</v>
      </c>
      <c r="O35" t="s">
        <v>42</v>
      </c>
      <c r="P35" t="s">
        <v>15</v>
      </c>
      <c r="Q35" t="s">
        <v>17</v>
      </c>
      <c r="R35" t="s">
        <v>43</v>
      </c>
      <c r="S35" t="s">
        <v>21</v>
      </c>
      <c r="T35" s="4" t="s">
        <v>23</v>
      </c>
      <c r="U35" s="4">
        <v>1</v>
      </c>
      <c r="V35" s="4" t="s">
        <v>26</v>
      </c>
      <c r="W35" s="4">
        <v>1</v>
      </c>
      <c r="X35" s="4" t="s">
        <v>46</v>
      </c>
      <c r="Y35">
        <v>2</v>
      </c>
      <c r="Z35" t="s">
        <v>44</v>
      </c>
      <c r="AA35" t="s">
        <v>46</v>
      </c>
      <c r="AB35" t="s">
        <v>46</v>
      </c>
    </row>
    <row r="36" spans="1:28" x14ac:dyDescent="0.35">
      <c r="A36" s="8" t="s">
        <v>1142</v>
      </c>
      <c r="B36" t="s">
        <v>98</v>
      </c>
      <c r="C36">
        <v>1940</v>
      </c>
      <c r="D36">
        <f t="shared" ca="1" si="0"/>
        <v>85</v>
      </c>
      <c r="E36" t="s">
        <v>6</v>
      </c>
      <c r="F36" t="s">
        <v>29</v>
      </c>
      <c r="G36" t="str">
        <f t="shared" si="1"/>
        <v>&lt;500.000</v>
      </c>
      <c r="H36" t="s">
        <v>63</v>
      </c>
      <c r="I36">
        <v>0</v>
      </c>
      <c r="J36" t="s">
        <v>48</v>
      </c>
      <c r="K36" t="s">
        <v>38</v>
      </c>
      <c r="L36" t="s">
        <v>11</v>
      </c>
      <c r="M36" t="s">
        <v>57</v>
      </c>
      <c r="N36" t="s">
        <v>58</v>
      </c>
      <c r="O36" t="s">
        <v>89</v>
      </c>
      <c r="P36" t="s">
        <v>15</v>
      </c>
      <c r="Q36" t="s">
        <v>17</v>
      </c>
      <c r="R36" t="s">
        <v>43</v>
      </c>
      <c r="S36" t="s">
        <v>21</v>
      </c>
      <c r="T36" s="4" t="s">
        <v>73</v>
      </c>
      <c r="U36" s="4">
        <v>0</v>
      </c>
      <c r="V36" s="4" t="s">
        <v>73</v>
      </c>
      <c r="W36">
        <v>0</v>
      </c>
      <c r="X36" s="4" t="s">
        <v>46</v>
      </c>
      <c r="Y36">
        <v>0</v>
      </c>
      <c r="Z36" t="s">
        <v>46</v>
      </c>
      <c r="AA36" t="s">
        <v>44</v>
      </c>
      <c r="AB36" t="s">
        <v>46</v>
      </c>
    </row>
    <row r="37" spans="1:28" x14ac:dyDescent="0.35">
      <c r="A37" s="8" t="s">
        <v>1143</v>
      </c>
      <c r="B37" t="s">
        <v>99</v>
      </c>
      <c r="C37">
        <v>1963</v>
      </c>
      <c r="D37">
        <f t="shared" ca="1" si="0"/>
        <v>62</v>
      </c>
      <c r="E37" t="s">
        <v>6</v>
      </c>
      <c r="F37" t="s">
        <v>137</v>
      </c>
      <c r="G37" t="str">
        <f t="shared" si="1"/>
        <v>500.000–1.000.000</v>
      </c>
      <c r="H37" t="s">
        <v>7</v>
      </c>
      <c r="I37">
        <v>2</v>
      </c>
      <c r="J37" t="s">
        <v>8</v>
      </c>
      <c r="K37" t="s">
        <v>38</v>
      </c>
      <c r="L37" t="s">
        <v>11</v>
      </c>
      <c r="M37" t="s">
        <v>57</v>
      </c>
      <c r="N37" t="s">
        <v>58</v>
      </c>
      <c r="O37" t="s">
        <v>42</v>
      </c>
      <c r="P37" t="s">
        <v>15</v>
      </c>
      <c r="Q37" t="s">
        <v>17</v>
      </c>
      <c r="R37" t="s">
        <v>43</v>
      </c>
      <c r="S37" t="s">
        <v>21</v>
      </c>
      <c r="T37" s="4" t="s">
        <v>23</v>
      </c>
      <c r="U37" s="4">
        <v>1</v>
      </c>
      <c r="V37" s="4" t="s">
        <v>26</v>
      </c>
      <c r="W37" s="4">
        <v>1</v>
      </c>
      <c r="X37" s="4" t="s">
        <v>46</v>
      </c>
      <c r="Y37">
        <v>1</v>
      </c>
      <c r="Z37" t="s">
        <v>46</v>
      </c>
      <c r="AA37" t="s">
        <v>64</v>
      </c>
      <c r="AB37" t="s">
        <v>46</v>
      </c>
    </row>
    <row r="38" spans="1:28" x14ac:dyDescent="0.35">
      <c r="A38" s="8" t="s">
        <v>1144</v>
      </c>
      <c r="B38" t="s">
        <v>100</v>
      </c>
      <c r="C38">
        <v>1965</v>
      </c>
      <c r="D38">
        <f t="shared" ca="1" si="0"/>
        <v>60</v>
      </c>
      <c r="E38" t="s">
        <v>28</v>
      </c>
      <c r="F38" t="s">
        <v>55</v>
      </c>
      <c r="G38" t="str">
        <f t="shared" si="1"/>
        <v>500.000–1.000.000</v>
      </c>
      <c r="H38" t="s">
        <v>7</v>
      </c>
      <c r="I38">
        <v>2</v>
      </c>
      <c r="J38" t="s">
        <v>8</v>
      </c>
      <c r="K38" t="s">
        <v>38</v>
      </c>
      <c r="L38" t="s">
        <v>11</v>
      </c>
      <c r="M38" t="s">
        <v>57</v>
      </c>
      <c r="N38" t="s">
        <v>58</v>
      </c>
      <c r="O38" t="s">
        <v>42</v>
      </c>
      <c r="P38" t="s">
        <v>15</v>
      </c>
      <c r="Q38" t="s">
        <v>17</v>
      </c>
      <c r="R38" t="s">
        <v>43</v>
      </c>
      <c r="S38" t="s">
        <v>21</v>
      </c>
      <c r="T38" s="4" t="s">
        <v>23</v>
      </c>
      <c r="U38" s="4">
        <v>1</v>
      </c>
      <c r="V38" s="4" t="s">
        <v>26</v>
      </c>
      <c r="W38" s="4">
        <v>1</v>
      </c>
      <c r="X38" s="4" t="s">
        <v>46</v>
      </c>
      <c r="Y38">
        <v>1</v>
      </c>
      <c r="Z38" t="s">
        <v>46</v>
      </c>
      <c r="AA38" t="s">
        <v>64</v>
      </c>
      <c r="AB38" t="s">
        <v>46</v>
      </c>
    </row>
    <row r="39" spans="1:28" x14ac:dyDescent="0.35">
      <c r="A39" s="8" t="s">
        <v>1145</v>
      </c>
      <c r="B39" t="s">
        <v>101</v>
      </c>
      <c r="C39">
        <v>1978</v>
      </c>
      <c r="D39">
        <f t="shared" ca="1" si="0"/>
        <v>47</v>
      </c>
      <c r="E39" t="s">
        <v>6</v>
      </c>
      <c r="F39" t="s">
        <v>137</v>
      </c>
      <c r="G39" t="str">
        <f t="shared" si="1"/>
        <v>1.000.000–2.000.000</v>
      </c>
      <c r="H39" t="s">
        <v>139</v>
      </c>
      <c r="I39">
        <v>3</v>
      </c>
      <c r="J39" t="s">
        <v>48</v>
      </c>
      <c r="K39" t="s">
        <v>10</v>
      </c>
      <c r="L39" t="s">
        <v>11</v>
      </c>
      <c r="M39" t="s">
        <v>40</v>
      </c>
      <c r="N39" t="s">
        <v>37</v>
      </c>
      <c r="O39" t="s">
        <v>42</v>
      </c>
      <c r="P39" t="s">
        <v>15</v>
      </c>
      <c r="Q39" t="s">
        <v>17</v>
      </c>
      <c r="R39" t="s">
        <v>43</v>
      </c>
      <c r="S39" t="s">
        <v>21</v>
      </c>
      <c r="T39" s="4" t="s">
        <v>23</v>
      </c>
      <c r="U39" s="4">
        <v>1</v>
      </c>
      <c r="V39" s="4" t="s">
        <v>102</v>
      </c>
      <c r="W39" s="4">
        <v>1</v>
      </c>
      <c r="X39" s="4" t="s">
        <v>46</v>
      </c>
      <c r="Y39">
        <v>2</v>
      </c>
      <c r="Z39" t="s">
        <v>46</v>
      </c>
      <c r="AA39" t="s">
        <v>46</v>
      </c>
      <c r="AB39" t="s">
        <v>46</v>
      </c>
    </row>
    <row r="40" spans="1:28" x14ac:dyDescent="0.35">
      <c r="A40" s="8" t="s">
        <v>1146</v>
      </c>
      <c r="B40" t="s">
        <v>103</v>
      </c>
      <c r="C40">
        <v>1982</v>
      </c>
      <c r="D40">
        <f t="shared" ca="1" si="0"/>
        <v>43</v>
      </c>
      <c r="E40" t="s">
        <v>28</v>
      </c>
      <c r="F40" t="s">
        <v>54</v>
      </c>
      <c r="G40" t="str">
        <f t="shared" si="1"/>
        <v>1.000.000–2.000.000</v>
      </c>
      <c r="H40" t="s">
        <v>139</v>
      </c>
      <c r="I40">
        <v>3</v>
      </c>
      <c r="J40" t="s">
        <v>48</v>
      </c>
      <c r="K40" t="s">
        <v>10</v>
      </c>
      <c r="L40" t="s">
        <v>11</v>
      </c>
      <c r="M40" t="s">
        <v>40</v>
      </c>
      <c r="N40" t="s">
        <v>37</v>
      </c>
      <c r="O40" t="s">
        <v>42</v>
      </c>
      <c r="P40" t="s">
        <v>15</v>
      </c>
      <c r="Q40" t="s">
        <v>17</v>
      </c>
      <c r="R40" t="s">
        <v>43</v>
      </c>
      <c r="S40" t="s">
        <v>21</v>
      </c>
      <c r="T40" s="4" t="s">
        <v>23</v>
      </c>
      <c r="U40" s="4">
        <v>1</v>
      </c>
      <c r="V40" s="4" t="s">
        <v>102</v>
      </c>
      <c r="W40" s="4">
        <v>1</v>
      </c>
      <c r="X40" s="4" t="s">
        <v>46</v>
      </c>
      <c r="Y40">
        <v>2</v>
      </c>
      <c r="Z40" t="s">
        <v>46</v>
      </c>
      <c r="AA40" t="s">
        <v>46</v>
      </c>
      <c r="AB40" t="s">
        <v>46</v>
      </c>
    </row>
    <row r="41" spans="1:28" x14ac:dyDescent="0.35">
      <c r="A41" s="8" t="s">
        <v>1147</v>
      </c>
      <c r="B41" t="s">
        <v>104</v>
      </c>
      <c r="C41">
        <v>1972</v>
      </c>
      <c r="D41">
        <f t="shared" ca="1" si="0"/>
        <v>53</v>
      </c>
      <c r="E41" t="s">
        <v>6</v>
      </c>
      <c r="F41" t="s">
        <v>54</v>
      </c>
      <c r="G41" t="str">
        <f t="shared" si="1"/>
        <v>1.000.000–2.000.000</v>
      </c>
      <c r="H41" t="s">
        <v>139</v>
      </c>
      <c r="I41">
        <v>3</v>
      </c>
      <c r="J41" t="s">
        <v>8</v>
      </c>
      <c r="K41" t="s">
        <v>10</v>
      </c>
      <c r="L41" t="s">
        <v>11</v>
      </c>
      <c r="M41" t="s">
        <v>14</v>
      </c>
      <c r="N41" t="s">
        <v>37</v>
      </c>
      <c r="O41" t="s">
        <v>42</v>
      </c>
      <c r="P41" t="s">
        <v>15</v>
      </c>
      <c r="Q41" t="s">
        <v>17</v>
      </c>
      <c r="R41" t="s">
        <v>19</v>
      </c>
      <c r="S41" t="s">
        <v>21</v>
      </c>
      <c r="T41" s="4" t="s">
        <v>23</v>
      </c>
      <c r="U41" s="4">
        <v>1</v>
      </c>
      <c r="V41" s="4" t="s">
        <v>76</v>
      </c>
      <c r="W41">
        <v>1</v>
      </c>
      <c r="X41" t="s">
        <v>46</v>
      </c>
      <c r="Y41">
        <v>2</v>
      </c>
      <c r="Z41" t="s">
        <v>46</v>
      </c>
      <c r="AA41" t="s">
        <v>46</v>
      </c>
      <c r="AB41" t="s">
        <v>46</v>
      </c>
    </row>
    <row r="42" spans="1:28" x14ac:dyDescent="0.35">
      <c r="A42" s="8" t="s">
        <v>1148</v>
      </c>
      <c r="B42" t="s">
        <v>105</v>
      </c>
      <c r="C42">
        <v>1976</v>
      </c>
      <c r="D42">
        <f t="shared" ca="1" si="0"/>
        <v>49</v>
      </c>
      <c r="E42" t="s">
        <v>28</v>
      </c>
      <c r="F42" t="s">
        <v>54</v>
      </c>
      <c r="G42" t="str">
        <f t="shared" si="1"/>
        <v>500.000–1.000.000</v>
      </c>
      <c r="H42" t="s">
        <v>7</v>
      </c>
      <c r="I42">
        <v>3</v>
      </c>
      <c r="J42" t="s">
        <v>8</v>
      </c>
      <c r="K42" t="s">
        <v>10</v>
      </c>
      <c r="L42" t="s">
        <v>11</v>
      </c>
      <c r="M42" t="s">
        <v>14</v>
      </c>
      <c r="N42" t="s">
        <v>37</v>
      </c>
      <c r="O42" t="s">
        <v>42</v>
      </c>
      <c r="P42" t="s">
        <v>15</v>
      </c>
      <c r="Q42" t="s">
        <v>17</v>
      </c>
      <c r="R42" t="s">
        <v>19</v>
      </c>
      <c r="S42" t="s">
        <v>21</v>
      </c>
      <c r="T42" s="4" t="s">
        <v>23</v>
      </c>
      <c r="U42" s="4">
        <v>1</v>
      </c>
      <c r="V42" s="4" t="s">
        <v>76</v>
      </c>
      <c r="W42">
        <v>1</v>
      </c>
      <c r="X42" t="s">
        <v>46</v>
      </c>
      <c r="Y42">
        <v>2</v>
      </c>
      <c r="Z42" t="s">
        <v>46</v>
      </c>
      <c r="AA42" t="s">
        <v>46</v>
      </c>
      <c r="AB42" t="s">
        <v>46</v>
      </c>
    </row>
    <row r="43" spans="1:28" x14ac:dyDescent="0.35">
      <c r="A43" s="8" t="s">
        <v>1149</v>
      </c>
      <c r="B43" t="s">
        <v>106</v>
      </c>
      <c r="C43">
        <v>1968</v>
      </c>
      <c r="D43">
        <f t="shared" ca="1" si="0"/>
        <v>57</v>
      </c>
      <c r="E43" t="s">
        <v>6</v>
      </c>
      <c r="F43" t="s">
        <v>29</v>
      </c>
      <c r="G43" t="str">
        <f t="shared" si="1"/>
        <v>&lt;500.000</v>
      </c>
      <c r="H43" t="s">
        <v>30</v>
      </c>
      <c r="I43">
        <v>2</v>
      </c>
      <c r="J43" t="s">
        <v>48</v>
      </c>
      <c r="K43" t="s">
        <v>38</v>
      </c>
      <c r="L43" t="s">
        <v>49</v>
      </c>
      <c r="M43" t="s">
        <v>57</v>
      </c>
      <c r="N43" t="s">
        <v>58</v>
      </c>
      <c r="O43" t="s">
        <v>89</v>
      </c>
      <c r="P43" t="s">
        <v>15</v>
      </c>
      <c r="Q43" t="s">
        <v>17</v>
      </c>
      <c r="R43" t="s">
        <v>43</v>
      </c>
      <c r="S43" t="s">
        <v>21</v>
      </c>
      <c r="T43" s="4" t="s">
        <v>73</v>
      </c>
      <c r="U43" s="4">
        <v>0</v>
      </c>
      <c r="V43" s="4" t="s">
        <v>73</v>
      </c>
      <c r="W43">
        <v>0</v>
      </c>
      <c r="X43" t="s">
        <v>46</v>
      </c>
      <c r="Y43">
        <v>0</v>
      </c>
      <c r="Z43" t="s">
        <v>46</v>
      </c>
      <c r="AA43" t="s">
        <v>46</v>
      </c>
      <c r="AB43" t="s">
        <v>74</v>
      </c>
    </row>
    <row r="44" spans="1:28" s="5" customFormat="1" x14ac:dyDescent="0.35">
      <c r="A44" s="8" t="s">
        <v>1150</v>
      </c>
      <c r="B44" s="5" t="s">
        <v>107</v>
      </c>
      <c r="C44" s="5">
        <v>1980</v>
      </c>
      <c r="D44">
        <f t="shared" ca="1" si="0"/>
        <v>45</v>
      </c>
      <c r="E44" s="5" t="s">
        <v>6</v>
      </c>
      <c r="F44" s="5" t="s">
        <v>137</v>
      </c>
      <c r="G44" s="5" t="str">
        <f t="shared" si="1"/>
        <v>500.000–1.000.000</v>
      </c>
      <c r="H44" s="5" t="s">
        <v>7</v>
      </c>
      <c r="I44" s="5">
        <v>3</v>
      </c>
      <c r="J44" s="5" t="s">
        <v>8</v>
      </c>
      <c r="K44" s="5" t="s">
        <v>38</v>
      </c>
      <c r="L44" s="5" t="s">
        <v>11</v>
      </c>
      <c r="M44" s="5" t="s">
        <v>57</v>
      </c>
      <c r="N44" s="5" t="s">
        <v>58</v>
      </c>
      <c r="O44" s="5" t="s">
        <v>42</v>
      </c>
      <c r="P44" s="5" t="s">
        <v>15</v>
      </c>
      <c r="Q44" s="5" t="s">
        <v>17</v>
      </c>
      <c r="R44" s="5" t="s">
        <v>43</v>
      </c>
      <c r="S44" s="5" t="s">
        <v>21</v>
      </c>
      <c r="T44" s="6" t="s">
        <v>23</v>
      </c>
      <c r="U44" s="6">
        <v>1</v>
      </c>
      <c r="V44" s="6" t="s">
        <v>26</v>
      </c>
      <c r="W44" s="6">
        <v>1</v>
      </c>
      <c r="X44" s="6" t="s">
        <v>46</v>
      </c>
      <c r="Y44" s="5">
        <v>3</v>
      </c>
      <c r="Z44" s="5" t="s">
        <v>46</v>
      </c>
      <c r="AA44" s="5" t="s">
        <v>46</v>
      </c>
      <c r="AB44" s="5" t="s">
        <v>46</v>
      </c>
    </row>
    <row r="45" spans="1:28" x14ac:dyDescent="0.35">
      <c r="A45" s="8" t="s">
        <v>1151</v>
      </c>
      <c r="B45" s="5" t="s">
        <v>108</v>
      </c>
      <c r="C45" s="5">
        <v>1982</v>
      </c>
      <c r="D45">
        <f t="shared" ca="1" si="0"/>
        <v>43</v>
      </c>
      <c r="E45" s="5" t="s">
        <v>28</v>
      </c>
      <c r="F45" s="5" t="s">
        <v>55</v>
      </c>
      <c r="G45" t="str">
        <f t="shared" si="1"/>
        <v>500.000–1.000.000</v>
      </c>
      <c r="H45" s="5" t="s">
        <v>30</v>
      </c>
      <c r="I45" s="5">
        <v>3</v>
      </c>
      <c r="J45" s="5" t="s">
        <v>8</v>
      </c>
      <c r="K45" s="5" t="s">
        <v>38</v>
      </c>
      <c r="L45" s="5" t="s">
        <v>11</v>
      </c>
      <c r="M45" s="5" t="s">
        <v>57</v>
      </c>
      <c r="N45" s="5" t="s">
        <v>58</v>
      </c>
      <c r="O45" s="5" t="s">
        <v>42</v>
      </c>
      <c r="P45" s="5" t="s">
        <v>15</v>
      </c>
      <c r="Q45" s="5" t="s">
        <v>17</v>
      </c>
      <c r="R45" s="5" t="s">
        <v>43</v>
      </c>
      <c r="S45" s="5" t="s">
        <v>21</v>
      </c>
      <c r="T45" s="6" t="s">
        <v>23</v>
      </c>
      <c r="U45" s="6">
        <v>1</v>
      </c>
      <c r="V45" s="6" t="s">
        <v>26</v>
      </c>
      <c r="W45" s="6">
        <v>1</v>
      </c>
      <c r="X45" s="6" t="s">
        <v>46</v>
      </c>
      <c r="Y45" s="5">
        <v>3</v>
      </c>
      <c r="Z45" s="5" t="s">
        <v>46</v>
      </c>
      <c r="AA45" s="5" t="s">
        <v>46</v>
      </c>
      <c r="AB45" s="5" t="s">
        <v>46</v>
      </c>
    </row>
    <row r="46" spans="1:28" x14ac:dyDescent="0.35">
      <c r="A46" s="8" t="s">
        <v>1152</v>
      </c>
      <c r="B46" s="5" t="s">
        <v>109</v>
      </c>
      <c r="C46" s="5">
        <v>1945</v>
      </c>
      <c r="D46">
        <f t="shared" ca="1" si="0"/>
        <v>80</v>
      </c>
      <c r="E46" s="5" t="s">
        <v>6</v>
      </c>
      <c r="F46" s="5" t="s">
        <v>29</v>
      </c>
      <c r="G46" t="str">
        <f t="shared" si="1"/>
        <v>&lt;500.000</v>
      </c>
      <c r="H46" s="5" t="s">
        <v>30</v>
      </c>
      <c r="I46" s="5">
        <v>2</v>
      </c>
      <c r="J46" s="5" t="s">
        <v>8</v>
      </c>
      <c r="K46" s="5" t="s">
        <v>38</v>
      </c>
      <c r="L46" s="5" t="s">
        <v>49</v>
      </c>
      <c r="M46" s="5" t="s">
        <v>57</v>
      </c>
      <c r="N46" s="5" t="s">
        <v>58</v>
      </c>
      <c r="O46" s="5" t="s">
        <v>42</v>
      </c>
      <c r="P46" s="5" t="s">
        <v>15</v>
      </c>
      <c r="Q46" s="5" t="s">
        <v>17</v>
      </c>
      <c r="R46" s="5" t="s">
        <v>43</v>
      </c>
      <c r="S46" s="5" t="s">
        <v>21</v>
      </c>
      <c r="T46" s="6" t="s">
        <v>23</v>
      </c>
      <c r="U46" s="6">
        <v>1</v>
      </c>
      <c r="V46" s="6" t="s">
        <v>73</v>
      </c>
      <c r="W46" s="6">
        <v>0</v>
      </c>
      <c r="X46" s="6" t="s">
        <v>60</v>
      </c>
      <c r="Y46" s="5">
        <v>0</v>
      </c>
      <c r="Z46" s="5" t="s">
        <v>46</v>
      </c>
      <c r="AA46" s="5" t="s">
        <v>44</v>
      </c>
      <c r="AB46" s="5" t="s">
        <v>46</v>
      </c>
    </row>
    <row r="47" spans="1:28" x14ac:dyDescent="0.35">
      <c r="A47" s="8" t="s">
        <v>1153</v>
      </c>
      <c r="B47" s="5" t="s">
        <v>110</v>
      </c>
      <c r="C47" s="5">
        <v>1980</v>
      </c>
      <c r="D47">
        <f t="shared" ca="1" si="0"/>
        <v>45</v>
      </c>
      <c r="E47" s="5" t="s">
        <v>6</v>
      </c>
      <c r="F47" s="5" t="s">
        <v>137</v>
      </c>
      <c r="G47" t="str">
        <f t="shared" si="1"/>
        <v>1.000.000–2.000.000</v>
      </c>
      <c r="H47" s="5" t="s">
        <v>139</v>
      </c>
      <c r="I47" s="5">
        <v>3</v>
      </c>
      <c r="J47" s="5" t="s">
        <v>48</v>
      </c>
      <c r="K47" s="5" t="s">
        <v>10</v>
      </c>
      <c r="L47" s="5" t="s">
        <v>11</v>
      </c>
      <c r="M47" s="5" t="s">
        <v>40</v>
      </c>
      <c r="N47" s="5" t="s">
        <v>37</v>
      </c>
      <c r="O47" s="5" t="s">
        <v>42</v>
      </c>
      <c r="P47" s="5" t="s">
        <v>15</v>
      </c>
      <c r="Q47" s="5" t="s">
        <v>17</v>
      </c>
      <c r="R47" s="5" t="s">
        <v>43</v>
      </c>
      <c r="S47" s="5" t="s">
        <v>21</v>
      </c>
      <c r="T47" s="6" t="s">
        <v>23</v>
      </c>
      <c r="U47" s="6">
        <v>1</v>
      </c>
      <c r="V47" s="6" t="s">
        <v>26</v>
      </c>
      <c r="W47" s="6">
        <v>1</v>
      </c>
      <c r="X47" s="6" t="s">
        <v>46</v>
      </c>
      <c r="Y47" s="5">
        <v>2</v>
      </c>
      <c r="Z47" s="5" t="s">
        <v>46</v>
      </c>
      <c r="AA47" s="5" t="s">
        <v>46</v>
      </c>
      <c r="AB47" s="5" t="s">
        <v>46</v>
      </c>
    </row>
    <row r="48" spans="1:28" x14ac:dyDescent="0.35">
      <c r="A48" s="8" t="s">
        <v>1154</v>
      </c>
      <c r="B48" s="5" t="s">
        <v>111</v>
      </c>
      <c r="C48" s="5">
        <v>1979</v>
      </c>
      <c r="D48">
        <f t="shared" ca="1" si="0"/>
        <v>46</v>
      </c>
      <c r="E48" s="5" t="s">
        <v>28</v>
      </c>
      <c r="F48" s="5" t="s">
        <v>29</v>
      </c>
      <c r="G48" t="str">
        <f t="shared" si="1"/>
        <v>500.000–1.000.000</v>
      </c>
      <c r="H48" s="5" t="s">
        <v>139</v>
      </c>
      <c r="I48" s="5">
        <v>3</v>
      </c>
      <c r="J48" s="5" t="s">
        <v>48</v>
      </c>
      <c r="K48" s="5" t="s">
        <v>10</v>
      </c>
      <c r="L48" s="5" t="s">
        <v>11</v>
      </c>
      <c r="M48" s="5" t="s">
        <v>40</v>
      </c>
      <c r="N48" s="5" t="s">
        <v>37</v>
      </c>
      <c r="O48" s="5" t="s">
        <v>42</v>
      </c>
      <c r="P48" s="5" t="s">
        <v>15</v>
      </c>
      <c r="Q48" s="5" t="s">
        <v>17</v>
      </c>
      <c r="R48" s="5" t="s">
        <v>43</v>
      </c>
      <c r="S48" s="5" t="s">
        <v>21</v>
      </c>
      <c r="T48" s="6" t="s">
        <v>23</v>
      </c>
      <c r="U48" s="6">
        <v>1</v>
      </c>
      <c r="V48" s="6" t="s">
        <v>26</v>
      </c>
      <c r="W48" s="6">
        <v>1</v>
      </c>
      <c r="X48" s="6" t="s">
        <v>46</v>
      </c>
      <c r="Y48" s="5">
        <v>2</v>
      </c>
      <c r="Z48" s="5" t="s">
        <v>46</v>
      </c>
      <c r="AA48" s="5" t="s">
        <v>46</v>
      </c>
      <c r="AB48" s="5" t="s">
        <v>46</v>
      </c>
    </row>
    <row r="49" spans="1:28" x14ac:dyDescent="0.35">
      <c r="A49" s="8" t="s">
        <v>1155</v>
      </c>
      <c r="B49" s="5" t="s">
        <v>112</v>
      </c>
      <c r="C49" s="5">
        <v>1983</v>
      </c>
      <c r="D49">
        <f t="shared" ca="1" si="0"/>
        <v>42</v>
      </c>
      <c r="E49" s="5" t="s">
        <v>6</v>
      </c>
      <c r="F49" s="5" t="s">
        <v>29</v>
      </c>
      <c r="G49" t="str">
        <f t="shared" si="1"/>
        <v>&lt;500.000</v>
      </c>
      <c r="H49" t="s">
        <v>63</v>
      </c>
      <c r="J49" t="s">
        <v>8</v>
      </c>
      <c r="K49" s="5" t="s">
        <v>114</v>
      </c>
      <c r="L49" s="5" t="s">
        <v>11</v>
      </c>
      <c r="M49" s="5" t="s">
        <v>57</v>
      </c>
      <c r="N49" s="5" t="s">
        <v>58</v>
      </c>
      <c r="O49" s="5" t="s">
        <v>89</v>
      </c>
      <c r="P49" s="5" t="s">
        <v>15</v>
      </c>
      <c r="Q49" s="5" t="s">
        <v>17</v>
      </c>
      <c r="R49" s="5" t="s">
        <v>43</v>
      </c>
      <c r="S49" s="5" t="s">
        <v>21</v>
      </c>
      <c r="T49" s="6" t="s">
        <v>73</v>
      </c>
      <c r="U49" s="6">
        <v>0</v>
      </c>
      <c r="V49" s="6" t="s">
        <v>73</v>
      </c>
      <c r="W49">
        <v>0</v>
      </c>
      <c r="X49" s="6" t="s">
        <v>46</v>
      </c>
      <c r="Y49" s="5">
        <v>0</v>
      </c>
      <c r="Z49" s="5" t="s">
        <v>46</v>
      </c>
      <c r="AA49" s="5" t="s">
        <v>46</v>
      </c>
      <c r="AB49" s="5" t="s">
        <v>46</v>
      </c>
    </row>
    <row r="50" spans="1:28" x14ac:dyDescent="0.35">
      <c r="A50" s="8" t="s">
        <v>1156</v>
      </c>
      <c r="B50" s="5" t="s">
        <v>113</v>
      </c>
      <c r="C50" s="5">
        <v>1991</v>
      </c>
      <c r="D50">
        <f t="shared" ca="1" si="0"/>
        <v>34</v>
      </c>
      <c r="E50" s="5" t="s">
        <v>6</v>
      </c>
      <c r="F50" s="5" t="s">
        <v>29</v>
      </c>
      <c r="G50" t="str">
        <f t="shared" si="1"/>
        <v>&lt;500.000</v>
      </c>
      <c r="H50" t="s">
        <v>63</v>
      </c>
      <c r="I50">
        <v>2</v>
      </c>
      <c r="J50" t="s">
        <v>8</v>
      </c>
      <c r="K50" s="5" t="s">
        <v>114</v>
      </c>
      <c r="L50" s="5" t="s">
        <v>11</v>
      </c>
      <c r="M50" s="5" t="s">
        <v>57</v>
      </c>
      <c r="N50" s="5" t="s">
        <v>58</v>
      </c>
      <c r="O50" s="5" t="s">
        <v>89</v>
      </c>
      <c r="P50" s="5" t="s">
        <v>15</v>
      </c>
      <c r="Q50" s="5" t="s">
        <v>17</v>
      </c>
      <c r="R50" s="5" t="s">
        <v>43</v>
      </c>
      <c r="S50" s="5" t="s">
        <v>21</v>
      </c>
      <c r="T50" s="6" t="s">
        <v>73</v>
      </c>
      <c r="U50" s="6">
        <v>0</v>
      </c>
      <c r="V50" s="6" t="s">
        <v>73</v>
      </c>
      <c r="W50">
        <v>0</v>
      </c>
      <c r="X50" s="6" t="s">
        <v>46</v>
      </c>
      <c r="Y50">
        <v>2</v>
      </c>
      <c r="Z50" s="5" t="s">
        <v>46</v>
      </c>
      <c r="AA50" s="5" t="s">
        <v>46</v>
      </c>
      <c r="AB50" s="5" t="s">
        <v>46</v>
      </c>
    </row>
    <row r="51" spans="1:28" x14ac:dyDescent="0.35">
      <c r="A51" s="8" t="s">
        <v>1157</v>
      </c>
      <c r="B51" s="5" t="s">
        <v>115</v>
      </c>
      <c r="C51" s="5">
        <v>1995</v>
      </c>
      <c r="D51">
        <f t="shared" ca="1" si="0"/>
        <v>30</v>
      </c>
      <c r="E51" s="5" t="s">
        <v>28</v>
      </c>
      <c r="F51" s="5" t="s">
        <v>29</v>
      </c>
      <c r="G51" t="str">
        <f t="shared" si="1"/>
        <v>&lt;500.000</v>
      </c>
      <c r="H51" t="s">
        <v>63</v>
      </c>
      <c r="I51">
        <v>2</v>
      </c>
      <c r="J51" t="s">
        <v>8</v>
      </c>
      <c r="K51" s="5" t="s">
        <v>114</v>
      </c>
      <c r="L51" s="5" t="s">
        <v>11</v>
      </c>
      <c r="M51" s="5" t="s">
        <v>57</v>
      </c>
      <c r="N51" s="5" t="s">
        <v>58</v>
      </c>
      <c r="O51" s="5" t="s">
        <v>89</v>
      </c>
      <c r="P51" s="5" t="s">
        <v>15</v>
      </c>
      <c r="Q51" s="5" t="s">
        <v>17</v>
      </c>
      <c r="R51" s="5" t="s">
        <v>43</v>
      </c>
      <c r="S51" s="5" t="s">
        <v>21</v>
      </c>
      <c r="T51" s="6" t="s">
        <v>73</v>
      </c>
      <c r="U51" s="6">
        <v>0</v>
      </c>
      <c r="V51" s="6" t="s">
        <v>73</v>
      </c>
      <c r="W51">
        <v>0</v>
      </c>
      <c r="X51" s="6" t="s">
        <v>46</v>
      </c>
      <c r="Y51">
        <v>2</v>
      </c>
      <c r="Z51" s="5" t="s">
        <v>46</v>
      </c>
      <c r="AA51" s="5" t="s">
        <v>46</v>
      </c>
      <c r="AB51" s="5" t="s">
        <v>46</v>
      </c>
    </row>
    <row r="52" spans="1:28" x14ac:dyDescent="0.35">
      <c r="A52" s="8" t="s">
        <v>1158</v>
      </c>
      <c r="B52" s="5" t="s">
        <v>116</v>
      </c>
      <c r="C52" s="5">
        <v>1977</v>
      </c>
      <c r="D52">
        <f t="shared" ca="1" si="0"/>
        <v>48</v>
      </c>
      <c r="E52" s="5" t="s">
        <v>6</v>
      </c>
      <c r="F52" s="5" t="s">
        <v>55</v>
      </c>
      <c r="G52" t="str">
        <f t="shared" si="1"/>
        <v>1.000.000–2.000.000</v>
      </c>
      <c r="H52" t="s">
        <v>139</v>
      </c>
      <c r="I52">
        <v>1</v>
      </c>
      <c r="J52" t="s">
        <v>8</v>
      </c>
      <c r="K52" s="5" t="s">
        <v>38</v>
      </c>
      <c r="L52" s="5" t="s">
        <v>49</v>
      </c>
      <c r="M52" s="5" t="s">
        <v>57</v>
      </c>
      <c r="N52" s="5" t="s">
        <v>58</v>
      </c>
      <c r="O52" s="5" t="s">
        <v>42</v>
      </c>
      <c r="P52" s="5" t="s">
        <v>15</v>
      </c>
      <c r="Q52" s="5" t="s">
        <v>17</v>
      </c>
      <c r="R52" s="5" t="s">
        <v>43</v>
      </c>
      <c r="S52" s="5" t="s">
        <v>21</v>
      </c>
      <c r="T52" s="6" t="s">
        <v>23</v>
      </c>
      <c r="U52" s="6">
        <v>1</v>
      </c>
      <c r="V52" s="6" t="s">
        <v>117</v>
      </c>
      <c r="W52">
        <v>1</v>
      </c>
      <c r="X52" s="6" t="s">
        <v>46</v>
      </c>
      <c r="Y52">
        <v>0</v>
      </c>
      <c r="Z52" s="5" t="s">
        <v>46</v>
      </c>
      <c r="AA52" s="5" t="s">
        <v>46</v>
      </c>
      <c r="AB52" s="5" t="s">
        <v>46</v>
      </c>
    </row>
    <row r="53" spans="1:28" x14ac:dyDescent="0.35">
      <c r="A53" s="8" t="s">
        <v>1159</v>
      </c>
      <c r="B53" s="5" t="s">
        <v>118</v>
      </c>
      <c r="C53" s="5">
        <v>1984</v>
      </c>
      <c r="D53">
        <f t="shared" ca="1" si="0"/>
        <v>41</v>
      </c>
      <c r="E53" s="5" t="s">
        <v>28</v>
      </c>
      <c r="F53" s="5" t="s">
        <v>119</v>
      </c>
      <c r="G53" t="str">
        <f t="shared" si="1"/>
        <v>500.000–1.000.000</v>
      </c>
      <c r="H53" t="s">
        <v>7</v>
      </c>
      <c r="I53">
        <v>1</v>
      </c>
      <c r="J53" t="s">
        <v>8</v>
      </c>
      <c r="K53" s="5" t="s">
        <v>38</v>
      </c>
      <c r="L53" s="5" t="s">
        <v>49</v>
      </c>
      <c r="M53" s="5" t="s">
        <v>57</v>
      </c>
      <c r="N53" s="5" t="s">
        <v>58</v>
      </c>
      <c r="O53" s="5" t="s">
        <v>42</v>
      </c>
      <c r="P53" s="5" t="s">
        <v>15</v>
      </c>
      <c r="Q53" s="5" t="s">
        <v>17</v>
      </c>
      <c r="R53" s="5" t="s">
        <v>43</v>
      </c>
      <c r="S53" s="5" t="s">
        <v>21</v>
      </c>
      <c r="T53" s="6" t="s">
        <v>23</v>
      </c>
      <c r="U53" s="6">
        <v>1</v>
      </c>
      <c r="V53" s="6" t="s">
        <v>117</v>
      </c>
      <c r="W53">
        <v>1</v>
      </c>
      <c r="X53" s="6" t="s">
        <v>46</v>
      </c>
      <c r="Y53">
        <v>0</v>
      </c>
      <c r="Z53" s="5" t="s">
        <v>46</v>
      </c>
      <c r="AA53" s="5" t="s">
        <v>46</v>
      </c>
      <c r="AB53" s="5" t="s">
        <v>46</v>
      </c>
    </row>
    <row r="54" spans="1:28" x14ac:dyDescent="0.35">
      <c r="A54" s="8" t="s">
        <v>1160</v>
      </c>
      <c r="B54" s="5" t="s">
        <v>120</v>
      </c>
      <c r="C54" s="5">
        <v>1983</v>
      </c>
      <c r="D54">
        <f t="shared" ca="1" si="0"/>
        <v>42</v>
      </c>
      <c r="E54" s="5" t="s">
        <v>6</v>
      </c>
      <c r="F54" s="5" t="s">
        <v>29</v>
      </c>
      <c r="G54" t="str">
        <f t="shared" si="1"/>
        <v>&lt;500.000</v>
      </c>
      <c r="H54" t="s">
        <v>63</v>
      </c>
      <c r="I54">
        <v>2</v>
      </c>
      <c r="J54" t="s">
        <v>8</v>
      </c>
      <c r="K54" s="5" t="s">
        <v>38</v>
      </c>
      <c r="L54" s="5" t="s">
        <v>11</v>
      </c>
      <c r="M54" s="5" t="s">
        <v>57</v>
      </c>
      <c r="N54" s="5" t="s">
        <v>58</v>
      </c>
      <c r="O54" s="5" t="s">
        <v>42</v>
      </c>
      <c r="P54" s="5" t="s">
        <v>15</v>
      </c>
      <c r="Q54" s="5" t="s">
        <v>17</v>
      </c>
      <c r="R54" s="5" t="s">
        <v>43</v>
      </c>
      <c r="S54" s="5" t="s">
        <v>21</v>
      </c>
      <c r="T54" s="6" t="s">
        <v>23</v>
      </c>
      <c r="U54" s="6">
        <v>0</v>
      </c>
      <c r="V54" s="6" t="s">
        <v>26</v>
      </c>
      <c r="W54" s="6">
        <v>1</v>
      </c>
      <c r="X54" s="6" t="s">
        <v>46</v>
      </c>
      <c r="Y54">
        <v>2</v>
      </c>
      <c r="Z54" s="5" t="s">
        <v>46</v>
      </c>
      <c r="AA54" s="5" t="s">
        <v>46</v>
      </c>
      <c r="AB54" s="5" t="s">
        <v>46</v>
      </c>
    </row>
    <row r="55" spans="1:28" x14ac:dyDescent="0.35">
      <c r="A55" s="8" t="s">
        <v>1161</v>
      </c>
      <c r="B55" s="5" t="s">
        <v>121</v>
      </c>
      <c r="C55" s="5">
        <v>1987</v>
      </c>
      <c r="D55">
        <f t="shared" ca="1" si="0"/>
        <v>38</v>
      </c>
      <c r="E55" s="5" t="s">
        <v>28</v>
      </c>
      <c r="F55" s="5" t="s">
        <v>29</v>
      </c>
      <c r="G55" t="str">
        <f t="shared" si="1"/>
        <v>500.000–1.000.000</v>
      </c>
      <c r="H55" t="s">
        <v>7</v>
      </c>
      <c r="I55">
        <v>2</v>
      </c>
      <c r="J55" t="s">
        <v>8</v>
      </c>
      <c r="K55" s="5" t="s">
        <v>38</v>
      </c>
      <c r="L55" s="5" t="s">
        <v>11</v>
      </c>
      <c r="M55" s="5" t="s">
        <v>57</v>
      </c>
      <c r="N55" s="5" t="s">
        <v>58</v>
      </c>
      <c r="O55" s="5" t="s">
        <v>42</v>
      </c>
      <c r="P55" s="5" t="s">
        <v>15</v>
      </c>
      <c r="Q55" s="5" t="s">
        <v>17</v>
      </c>
      <c r="R55" s="5" t="s">
        <v>43</v>
      </c>
      <c r="S55" s="5" t="s">
        <v>21</v>
      </c>
      <c r="T55" s="6" t="s">
        <v>23</v>
      </c>
      <c r="U55" s="6">
        <v>0</v>
      </c>
      <c r="V55" s="6" t="s">
        <v>26</v>
      </c>
      <c r="W55" s="6">
        <v>1</v>
      </c>
      <c r="X55" s="6" t="s">
        <v>46</v>
      </c>
      <c r="Y55">
        <v>2</v>
      </c>
      <c r="Z55" s="5" t="s">
        <v>46</v>
      </c>
      <c r="AA55" s="5" t="s">
        <v>46</v>
      </c>
      <c r="AB55" s="5" t="s">
        <v>46</v>
      </c>
    </row>
    <row r="56" spans="1:28" x14ac:dyDescent="0.35">
      <c r="A56" s="8" t="s">
        <v>1162</v>
      </c>
      <c r="B56" s="5" t="s">
        <v>123</v>
      </c>
      <c r="C56" s="5">
        <v>1969</v>
      </c>
      <c r="D56">
        <f t="shared" ca="1" si="0"/>
        <v>56</v>
      </c>
      <c r="E56" s="5" t="s">
        <v>6</v>
      </c>
      <c r="F56" s="5" t="s">
        <v>29</v>
      </c>
      <c r="G56" t="str">
        <f t="shared" si="1"/>
        <v>&lt;500.000</v>
      </c>
      <c r="H56" t="s">
        <v>63</v>
      </c>
      <c r="I56">
        <v>1</v>
      </c>
      <c r="J56" t="s">
        <v>8</v>
      </c>
      <c r="K56" s="5" t="s">
        <v>38</v>
      </c>
      <c r="L56" s="5" t="s">
        <v>11</v>
      </c>
      <c r="M56" s="5" t="s">
        <v>124</v>
      </c>
      <c r="N56" s="5" t="s">
        <v>58</v>
      </c>
      <c r="O56" s="5" t="s">
        <v>42</v>
      </c>
      <c r="P56" s="5" t="s">
        <v>15</v>
      </c>
      <c r="Q56" s="5" t="s">
        <v>17</v>
      </c>
      <c r="R56" s="5" t="s">
        <v>125</v>
      </c>
      <c r="S56" s="5" t="s">
        <v>21</v>
      </c>
      <c r="T56" s="6" t="s">
        <v>23</v>
      </c>
      <c r="U56" s="6">
        <v>1</v>
      </c>
      <c r="V56" s="6" t="s">
        <v>73</v>
      </c>
      <c r="W56" s="6">
        <v>0</v>
      </c>
      <c r="X56" s="6" t="s">
        <v>46</v>
      </c>
      <c r="Y56">
        <v>0</v>
      </c>
      <c r="Z56" s="5" t="s">
        <v>46</v>
      </c>
      <c r="AA56" s="5" t="s">
        <v>46</v>
      </c>
      <c r="AB56" s="5" t="s">
        <v>46</v>
      </c>
    </row>
    <row r="57" spans="1:28" x14ac:dyDescent="0.35">
      <c r="A57" s="8" t="s">
        <v>1163</v>
      </c>
      <c r="B57" s="5" t="s">
        <v>126</v>
      </c>
      <c r="C57" s="5">
        <v>1970</v>
      </c>
      <c r="D57">
        <f t="shared" ca="1" si="0"/>
        <v>55</v>
      </c>
      <c r="E57" s="5" t="s">
        <v>28</v>
      </c>
      <c r="F57" s="5" t="s">
        <v>29</v>
      </c>
      <c r="G57" t="str">
        <f t="shared" si="1"/>
        <v>500.000–1.000.000</v>
      </c>
      <c r="H57" t="s">
        <v>7</v>
      </c>
      <c r="I57">
        <v>1</v>
      </c>
      <c r="J57" t="s">
        <v>8</v>
      </c>
      <c r="K57" s="5" t="s">
        <v>38</v>
      </c>
      <c r="L57" s="5" t="s">
        <v>11</v>
      </c>
      <c r="M57" s="5" t="s">
        <v>124</v>
      </c>
      <c r="N57" s="5" t="s">
        <v>58</v>
      </c>
      <c r="O57" s="5" t="s">
        <v>42</v>
      </c>
      <c r="P57" s="5" t="s">
        <v>15</v>
      </c>
      <c r="Q57" s="5" t="s">
        <v>17</v>
      </c>
      <c r="R57" s="5" t="s">
        <v>125</v>
      </c>
      <c r="S57" s="5" t="s">
        <v>21</v>
      </c>
      <c r="T57" s="6" t="s">
        <v>23</v>
      </c>
      <c r="U57" s="6">
        <v>1</v>
      </c>
      <c r="V57" s="6" t="s">
        <v>73</v>
      </c>
      <c r="W57" s="6">
        <v>0</v>
      </c>
      <c r="X57" s="6" t="s">
        <v>46</v>
      </c>
      <c r="Y57">
        <v>0</v>
      </c>
      <c r="Z57" s="5" t="s">
        <v>46</v>
      </c>
      <c r="AA57" s="5" t="s">
        <v>46</v>
      </c>
      <c r="AB57" s="5" t="s">
        <v>46</v>
      </c>
    </row>
    <row r="58" spans="1:28" x14ac:dyDescent="0.35">
      <c r="A58" s="8" t="s">
        <v>1164</v>
      </c>
      <c r="B58" s="5" t="s">
        <v>127</v>
      </c>
      <c r="C58" s="5">
        <v>1986</v>
      </c>
      <c r="D58">
        <f t="shared" ca="1" si="0"/>
        <v>39</v>
      </c>
      <c r="E58" s="5" t="s">
        <v>6</v>
      </c>
      <c r="F58" s="5" t="s">
        <v>54</v>
      </c>
      <c r="G58" t="str">
        <f t="shared" si="1"/>
        <v>1.000.000–2.000.000</v>
      </c>
      <c r="H58" t="s">
        <v>139</v>
      </c>
      <c r="I58">
        <v>2</v>
      </c>
      <c r="J58" t="s">
        <v>8</v>
      </c>
      <c r="K58" s="5" t="s">
        <v>38</v>
      </c>
      <c r="L58" s="5" t="s">
        <v>11</v>
      </c>
      <c r="M58" s="5" t="s">
        <v>57</v>
      </c>
      <c r="N58" s="5" t="s">
        <v>58</v>
      </c>
      <c r="O58" s="5" t="s">
        <v>42</v>
      </c>
      <c r="P58" s="5" t="s">
        <v>15</v>
      </c>
      <c r="Q58" s="5" t="s">
        <v>17</v>
      </c>
      <c r="R58" s="5" t="s">
        <v>43</v>
      </c>
      <c r="S58" s="5" t="s">
        <v>21</v>
      </c>
      <c r="T58" s="6" t="s">
        <v>23</v>
      </c>
      <c r="U58" s="6">
        <v>1</v>
      </c>
      <c r="V58" s="6" t="s">
        <v>26</v>
      </c>
      <c r="W58" s="6">
        <v>1</v>
      </c>
      <c r="X58" s="6" t="s">
        <v>46</v>
      </c>
      <c r="Y58">
        <v>2</v>
      </c>
      <c r="Z58" s="5" t="s">
        <v>46</v>
      </c>
      <c r="AA58" s="5" t="s">
        <v>46</v>
      </c>
      <c r="AB58" s="5" t="s">
        <v>46</v>
      </c>
    </row>
    <row r="59" spans="1:28" x14ac:dyDescent="0.35">
      <c r="A59" s="8" t="s">
        <v>1165</v>
      </c>
      <c r="B59" s="5" t="s">
        <v>128</v>
      </c>
      <c r="C59" s="5">
        <v>1991</v>
      </c>
      <c r="D59">
        <f t="shared" ca="1" si="0"/>
        <v>34</v>
      </c>
      <c r="E59" s="5" t="s">
        <v>28</v>
      </c>
      <c r="F59" s="5" t="s">
        <v>29</v>
      </c>
      <c r="G59" t="str">
        <f t="shared" si="1"/>
        <v>&lt;500.000</v>
      </c>
      <c r="H59" t="s">
        <v>63</v>
      </c>
      <c r="I59">
        <v>2</v>
      </c>
      <c r="J59" t="s">
        <v>8</v>
      </c>
      <c r="K59" s="5" t="s">
        <v>38</v>
      </c>
      <c r="L59" s="5" t="s">
        <v>11</v>
      </c>
      <c r="M59" s="5" t="s">
        <v>57</v>
      </c>
      <c r="N59" s="5" t="s">
        <v>58</v>
      </c>
      <c r="O59" s="5" t="s">
        <v>42</v>
      </c>
      <c r="P59" s="5" t="s">
        <v>15</v>
      </c>
      <c r="Q59" s="5" t="s">
        <v>17</v>
      </c>
      <c r="R59" s="5" t="s">
        <v>43</v>
      </c>
      <c r="S59" s="5" t="s">
        <v>21</v>
      </c>
      <c r="T59" s="6" t="s">
        <v>23</v>
      </c>
      <c r="U59" s="6">
        <v>1</v>
      </c>
      <c r="V59" s="6" t="s">
        <v>26</v>
      </c>
      <c r="W59" s="6">
        <v>1</v>
      </c>
      <c r="X59" s="6" t="s">
        <v>46</v>
      </c>
      <c r="Y59">
        <v>2</v>
      </c>
      <c r="Z59" s="5" t="s">
        <v>46</v>
      </c>
      <c r="AA59" s="5" t="s">
        <v>46</v>
      </c>
      <c r="AB59" s="5" t="s">
        <v>46</v>
      </c>
    </row>
    <row r="60" spans="1:28" x14ac:dyDescent="0.35">
      <c r="A60" s="8" t="s">
        <v>1166</v>
      </c>
      <c r="B60" s="5" t="s">
        <v>129</v>
      </c>
      <c r="C60" s="5">
        <v>1977</v>
      </c>
      <c r="D60">
        <f t="shared" ca="1" si="0"/>
        <v>48</v>
      </c>
      <c r="E60" s="5" t="s">
        <v>6</v>
      </c>
      <c r="F60" s="5" t="s">
        <v>55</v>
      </c>
      <c r="G60" t="str">
        <f t="shared" si="1"/>
        <v>500.000–1.000.000</v>
      </c>
      <c r="H60" t="s">
        <v>7</v>
      </c>
      <c r="I60">
        <v>2</v>
      </c>
      <c r="J60" t="s">
        <v>8</v>
      </c>
      <c r="K60" s="5" t="s">
        <v>114</v>
      </c>
      <c r="L60" s="5" t="s">
        <v>11</v>
      </c>
      <c r="M60" s="5" t="s">
        <v>57</v>
      </c>
      <c r="N60" s="5" t="s">
        <v>58</v>
      </c>
      <c r="O60" s="5" t="s">
        <v>42</v>
      </c>
      <c r="P60" s="5" t="s">
        <v>15</v>
      </c>
      <c r="Q60" s="5" t="s">
        <v>17</v>
      </c>
      <c r="R60" s="5" t="s">
        <v>43</v>
      </c>
      <c r="S60" s="5" t="s">
        <v>21</v>
      </c>
      <c r="T60" s="6" t="s">
        <v>23</v>
      </c>
      <c r="U60" s="6">
        <v>1</v>
      </c>
      <c r="V60" s="6" t="s">
        <v>26</v>
      </c>
      <c r="W60" s="6">
        <v>1</v>
      </c>
      <c r="X60" s="6" t="s">
        <v>46</v>
      </c>
      <c r="Y60">
        <v>2</v>
      </c>
      <c r="Z60" s="5" t="s">
        <v>46</v>
      </c>
      <c r="AA60" s="5" t="s">
        <v>46</v>
      </c>
      <c r="AB60" s="5" t="s">
        <v>46</v>
      </c>
    </row>
    <row r="61" spans="1:28" x14ac:dyDescent="0.35">
      <c r="A61" s="8" t="s">
        <v>1167</v>
      </c>
      <c r="B61" s="5" t="s">
        <v>130</v>
      </c>
      <c r="C61" s="5">
        <v>1983</v>
      </c>
      <c r="D61">
        <f t="shared" ca="1" si="0"/>
        <v>42</v>
      </c>
      <c r="E61" s="5" t="s">
        <v>6</v>
      </c>
      <c r="F61" s="5" t="s">
        <v>29</v>
      </c>
      <c r="G61" t="str">
        <f t="shared" si="1"/>
        <v>&lt;500.000</v>
      </c>
      <c r="H61" t="s">
        <v>63</v>
      </c>
      <c r="I61">
        <v>4</v>
      </c>
      <c r="J61" t="s">
        <v>72</v>
      </c>
      <c r="K61" s="5" t="s">
        <v>114</v>
      </c>
      <c r="L61" s="5" t="s">
        <v>11</v>
      </c>
      <c r="M61" s="5" t="s">
        <v>57</v>
      </c>
      <c r="N61" s="5" t="s">
        <v>58</v>
      </c>
      <c r="O61" s="5" t="s">
        <v>89</v>
      </c>
      <c r="P61" s="5" t="s">
        <v>15</v>
      </c>
      <c r="Q61" s="5" t="s">
        <v>17</v>
      </c>
      <c r="R61" s="5" t="s">
        <v>43</v>
      </c>
      <c r="S61" s="5" t="s">
        <v>21</v>
      </c>
      <c r="T61" s="6" t="s">
        <v>73</v>
      </c>
      <c r="U61" s="6">
        <v>0</v>
      </c>
      <c r="V61" s="6" t="s">
        <v>73</v>
      </c>
      <c r="W61">
        <v>0</v>
      </c>
      <c r="X61" s="6" t="s">
        <v>46</v>
      </c>
      <c r="Y61">
        <v>3</v>
      </c>
      <c r="Z61" s="5" t="s">
        <v>46</v>
      </c>
      <c r="AA61" s="5" t="s">
        <v>46</v>
      </c>
      <c r="AB61" s="5" t="s">
        <v>46</v>
      </c>
    </row>
    <row r="62" spans="1:28" x14ac:dyDescent="0.35">
      <c r="A62" s="8" t="s">
        <v>1168</v>
      </c>
      <c r="B62" s="5" t="s">
        <v>131</v>
      </c>
      <c r="C62" s="5">
        <v>1987</v>
      </c>
      <c r="D62">
        <f t="shared" ca="1" si="0"/>
        <v>38</v>
      </c>
      <c r="E62" s="5" t="s">
        <v>28</v>
      </c>
      <c r="F62" s="5" t="s">
        <v>29</v>
      </c>
      <c r="G62" t="str">
        <f t="shared" si="1"/>
        <v>&lt;500.000</v>
      </c>
      <c r="H62" t="s">
        <v>63</v>
      </c>
      <c r="I62">
        <v>4</v>
      </c>
      <c r="J62" t="s">
        <v>72</v>
      </c>
      <c r="K62" s="5" t="s">
        <v>114</v>
      </c>
      <c r="L62" s="5" t="s">
        <v>11</v>
      </c>
      <c r="M62" s="5" t="s">
        <v>57</v>
      </c>
      <c r="N62" s="5" t="s">
        <v>58</v>
      </c>
      <c r="O62" s="5" t="s">
        <v>89</v>
      </c>
      <c r="P62" s="5" t="s">
        <v>15</v>
      </c>
      <c r="Q62" s="5" t="s">
        <v>17</v>
      </c>
      <c r="R62" s="5" t="s">
        <v>43</v>
      </c>
      <c r="S62" s="5" t="s">
        <v>21</v>
      </c>
      <c r="T62" s="6" t="s">
        <v>73</v>
      </c>
      <c r="U62" s="6">
        <v>0</v>
      </c>
      <c r="V62" s="6" t="s">
        <v>73</v>
      </c>
      <c r="W62">
        <v>0</v>
      </c>
      <c r="X62" s="6" t="s">
        <v>46</v>
      </c>
      <c r="Y62">
        <v>3</v>
      </c>
      <c r="Z62" s="5" t="s">
        <v>46</v>
      </c>
      <c r="AA62" s="5" t="s">
        <v>46</v>
      </c>
      <c r="AB62" s="5" t="s">
        <v>46</v>
      </c>
    </row>
    <row r="63" spans="1:28" x14ac:dyDescent="0.35">
      <c r="A63" s="8" t="s">
        <v>1169</v>
      </c>
      <c r="B63" s="5" t="s">
        <v>132</v>
      </c>
      <c r="C63" s="5">
        <v>1972</v>
      </c>
      <c r="D63">
        <f t="shared" ca="1" si="0"/>
        <v>53</v>
      </c>
      <c r="E63" s="5" t="s">
        <v>6</v>
      </c>
      <c r="F63" t="s">
        <v>137</v>
      </c>
      <c r="G63" t="str">
        <f t="shared" si="1"/>
        <v>500.000–1.000.000</v>
      </c>
      <c r="H63" t="s">
        <v>7</v>
      </c>
      <c r="I63">
        <v>1</v>
      </c>
      <c r="J63" t="s">
        <v>8</v>
      </c>
      <c r="K63" s="5" t="s">
        <v>10</v>
      </c>
      <c r="L63" s="5" t="s">
        <v>11</v>
      </c>
      <c r="M63" s="5" t="s">
        <v>40</v>
      </c>
      <c r="N63" s="5" t="s">
        <v>37</v>
      </c>
      <c r="O63" s="5" t="s">
        <v>42</v>
      </c>
      <c r="P63" s="5" t="s">
        <v>133</v>
      </c>
      <c r="Q63" s="5" t="s">
        <v>17</v>
      </c>
      <c r="R63" s="5" t="s">
        <v>43</v>
      </c>
      <c r="S63" s="5" t="s">
        <v>21</v>
      </c>
      <c r="T63" s="6" t="s">
        <v>23</v>
      </c>
      <c r="U63" s="6">
        <v>1</v>
      </c>
      <c r="V63" s="6" t="s">
        <v>26</v>
      </c>
      <c r="W63">
        <v>1</v>
      </c>
      <c r="X63" s="6" t="s">
        <v>46</v>
      </c>
      <c r="Y63">
        <v>0</v>
      </c>
      <c r="Z63" s="5" t="s">
        <v>46</v>
      </c>
      <c r="AA63" s="5" t="s">
        <v>46</v>
      </c>
      <c r="AB63" s="5" t="s">
        <v>46</v>
      </c>
    </row>
    <row r="64" spans="1:28" x14ac:dyDescent="0.35">
      <c r="A64" s="8" t="s">
        <v>1170</v>
      </c>
      <c r="B64" s="5" t="s">
        <v>134</v>
      </c>
      <c r="C64" s="5">
        <v>1998</v>
      </c>
      <c r="D64">
        <f t="shared" ca="1" si="0"/>
        <v>27</v>
      </c>
      <c r="E64" s="5" t="s">
        <v>6</v>
      </c>
      <c r="F64" t="s">
        <v>29</v>
      </c>
      <c r="G64" t="str">
        <f t="shared" si="1"/>
        <v>&lt;500.000</v>
      </c>
      <c r="H64" t="s">
        <v>63</v>
      </c>
      <c r="I64">
        <v>1</v>
      </c>
      <c r="J64" t="s">
        <v>8</v>
      </c>
      <c r="K64" s="5" t="s">
        <v>38</v>
      </c>
      <c r="L64" s="5" t="s">
        <v>11</v>
      </c>
      <c r="M64" s="5" t="s">
        <v>57</v>
      </c>
      <c r="N64" s="5" t="s">
        <v>58</v>
      </c>
      <c r="O64" s="5" t="s">
        <v>89</v>
      </c>
      <c r="P64" s="5" t="s">
        <v>15</v>
      </c>
      <c r="Q64" s="5" t="s">
        <v>17</v>
      </c>
      <c r="R64" s="5" t="s">
        <v>43</v>
      </c>
      <c r="S64" s="5" t="s">
        <v>21</v>
      </c>
      <c r="T64" s="6" t="s">
        <v>73</v>
      </c>
      <c r="U64" s="6">
        <v>0</v>
      </c>
      <c r="V64" s="6" t="s">
        <v>73</v>
      </c>
      <c r="W64">
        <v>0</v>
      </c>
      <c r="X64" s="6" t="s">
        <v>46</v>
      </c>
      <c r="Y64">
        <v>0</v>
      </c>
      <c r="Z64" s="5" t="s">
        <v>44</v>
      </c>
      <c r="AA64" s="5" t="s">
        <v>46</v>
      </c>
      <c r="AB64" s="5" t="s">
        <v>46</v>
      </c>
    </row>
    <row r="65" spans="1:28" x14ac:dyDescent="0.35">
      <c r="A65" s="8" t="s">
        <v>1171</v>
      </c>
      <c r="B65" s="5" t="s">
        <v>135</v>
      </c>
      <c r="C65" s="5">
        <v>2002</v>
      </c>
      <c r="D65">
        <f t="shared" ca="1" si="0"/>
        <v>23</v>
      </c>
      <c r="E65" s="5" t="s">
        <v>28</v>
      </c>
      <c r="F65" t="s">
        <v>29</v>
      </c>
      <c r="G65" t="str">
        <f t="shared" ref="G65:G128" si="2">IF(OR(
    F65="Tidak bekerja",
    F65="Pekerja keluarga/Tidak dibayar"),
    IF(OR(H65="Tidak Sekolah", H65="SD"), "&lt;500.000", "500.000–1.000.000"),
IF(OR(
    F65="Pekerja Bebas Pertanian",
    F65="Pekerja Bebas non-Pertanian"),
    IF(OR(H65="Tidak Sekolah", H65="SD", H65="SMP"), "500.000–1.000.000", "1.000.000–2.000.000"),
IF(F65="Buruh/Karyawan/Pegawai Swasta",
    IF(OR(H65="SD", H65="SMP"), "500.000–1.000.000",
       IF(OR(H65="SMA/SMK", H65="D1/2/3"), "1.000.000–2.000.000", "2.000.000–3.000.000")
    ),
IF(F65="Berusaha Sendiri",
    IF(OR(H65="SD", H65="SMP"), "500.000–1.000.000", "1.000.000–2.000.000"),
IF(F65="Berusaha dibantu buruh tidak tetap/Tidak dibayar", "1.000.000–2.000.000",
IF(F65="Berusaha dibantu buruh tetap/Dibayar", "2.000.000–3.000.000",
IF(F65="PNS/TNI/Polri/BUMN/BUMD/Anggota Legislatif", "2.000.000–3.000.000",
""
)))))))</f>
        <v>&lt;500.000</v>
      </c>
      <c r="H65" t="s">
        <v>63</v>
      </c>
      <c r="I65">
        <v>1</v>
      </c>
      <c r="J65" t="s">
        <v>8</v>
      </c>
      <c r="K65" s="5" t="s">
        <v>38</v>
      </c>
      <c r="L65" s="5" t="s">
        <v>11</v>
      </c>
      <c r="M65" s="5" t="s">
        <v>57</v>
      </c>
      <c r="N65" s="5" t="s">
        <v>58</v>
      </c>
      <c r="O65" s="5" t="s">
        <v>89</v>
      </c>
      <c r="P65" s="5" t="s">
        <v>15</v>
      </c>
      <c r="Q65" s="5" t="s">
        <v>17</v>
      </c>
      <c r="R65" s="5" t="s">
        <v>43</v>
      </c>
      <c r="S65" s="5" t="s">
        <v>21</v>
      </c>
      <c r="T65" s="6" t="s">
        <v>73</v>
      </c>
      <c r="U65" s="6">
        <v>0</v>
      </c>
      <c r="V65" s="6" t="s">
        <v>73</v>
      </c>
      <c r="W65">
        <v>0</v>
      </c>
      <c r="X65" s="6" t="s">
        <v>46</v>
      </c>
      <c r="Y65">
        <v>0</v>
      </c>
      <c r="Z65" s="5" t="s">
        <v>44</v>
      </c>
      <c r="AA65" s="5" t="s">
        <v>46</v>
      </c>
      <c r="AB65" s="5" t="s">
        <v>46</v>
      </c>
    </row>
    <row r="66" spans="1:28" x14ac:dyDescent="0.35">
      <c r="A66" s="8" t="s">
        <v>1172</v>
      </c>
      <c r="B66" s="5" t="s">
        <v>136</v>
      </c>
      <c r="C66" s="5">
        <v>1982</v>
      </c>
      <c r="D66">
        <f t="shared" ca="1" si="0"/>
        <v>43</v>
      </c>
      <c r="E66" s="5" t="s">
        <v>6</v>
      </c>
      <c r="F66" t="s">
        <v>137</v>
      </c>
      <c r="G66" t="str">
        <f t="shared" si="2"/>
        <v>1.000.000–2.000.000</v>
      </c>
      <c r="H66" t="s">
        <v>139</v>
      </c>
      <c r="I66">
        <v>3</v>
      </c>
      <c r="J66" t="s">
        <v>8</v>
      </c>
      <c r="K66" s="5" t="s">
        <v>38</v>
      </c>
      <c r="L66" s="5" t="s">
        <v>11</v>
      </c>
      <c r="M66" s="5" t="s">
        <v>40</v>
      </c>
      <c r="N66" s="5" t="s">
        <v>37</v>
      </c>
      <c r="O66" s="5" t="s">
        <v>42</v>
      </c>
      <c r="P66" s="5" t="s">
        <v>15</v>
      </c>
      <c r="Q66" s="5" t="s">
        <v>17</v>
      </c>
      <c r="R66" s="5" t="s">
        <v>87</v>
      </c>
      <c r="S66" s="5" t="s">
        <v>21</v>
      </c>
      <c r="T66" s="6" t="s">
        <v>23</v>
      </c>
      <c r="U66" s="6">
        <v>1</v>
      </c>
      <c r="V66" s="6" t="s">
        <v>76</v>
      </c>
      <c r="W66">
        <v>1</v>
      </c>
      <c r="X66" s="6" t="s">
        <v>60</v>
      </c>
      <c r="Y66">
        <v>3</v>
      </c>
      <c r="Z66" s="5" t="s">
        <v>46</v>
      </c>
      <c r="AA66" s="5" t="s">
        <v>46</v>
      </c>
      <c r="AB66" s="5" t="s">
        <v>46</v>
      </c>
    </row>
    <row r="67" spans="1:28" x14ac:dyDescent="0.35">
      <c r="A67" s="8" t="s">
        <v>1173</v>
      </c>
      <c r="B67" s="5" t="s">
        <v>138</v>
      </c>
      <c r="C67" s="5">
        <v>1989</v>
      </c>
      <c r="D67">
        <f t="shared" ca="1" si="0"/>
        <v>36</v>
      </c>
      <c r="E67" s="5" t="s">
        <v>28</v>
      </c>
      <c r="F67" t="s">
        <v>29</v>
      </c>
      <c r="G67" t="str">
        <f t="shared" si="2"/>
        <v>500.000–1.000.000</v>
      </c>
      <c r="H67" t="s">
        <v>139</v>
      </c>
      <c r="I67">
        <v>3</v>
      </c>
      <c r="J67" t="s">
        <v>8</v>
      </c>
      <c r="K67" s="5" t="s">
        <v>38</v>
      </c>
      <c r="L67" s="5" t="s">
        <v>11</v>
      </c>
      <c r="M67" s="5" t="s">
        <v>40</v>
      </c>
      <c r="N67" s="5" t="s">
        <v>37</v>
      </c>
      <c r="O67" s="5" t="s">
        <v>42</v>
      </c>
      <c r="P67" s="5" t="s">
        <v>15</v>
      </c>
      <c r="Q67" s="5" t="s">
        <v>17</v>
      </c>
      <c r="R67" s="5" t="s">
        <v>87</v>
      </c>
      <c r="S67" s="5" t="s">
        <v>21</v>
      </c>
      <c r="T67" s="6" t="s">
        <v>23</v>
      </c>
      <c r="U67" s="6">
        <v>1</v>
      </c>
      <c r="V67" s="6" t="s">
        <v>76</v>
      </c>
      <c r="W67">
        <v>1</v>
      </c>
      <c r="X67" s="6" t="s">
        <v>60</v>
      </c>
      <c r="Y67">
        <v>3</v>
      </c>
      <c r="Z67" s="5" t="s">
        <v>46</v>
      </c>
      <c r="AA67" s="5" t="s">
        <v>46</v>
      </c>
      <c r="AB67" s="5" t="s">
        <v>46</v>
      </c>
    </row>
    <row r="68" spans="1:28" x14ac:dyDescent="0.35">
      <c r="A68" s="8" t="s">
        <v>1174</v>
      </c>
      <c r="B68" s="5" t="s">
        <v>140</v>
      </c>
      <c r="C68" s="5">
        <v>1978</v>
      </c>
      <c r="D68">
        <f t="shared" ca="1" si="0"/>
        <v>47</v>
      </c>
      <c r="E68" s="5" t="s">
        <v>6</v>
      </c>
      <c r="F68" t="s">
        <v>29</v>
      </c>
      <c r="G68" t="str">
        <f t="shared" si="2"/>
        <v>&lt;500.000</v>
      </c>
      <c r="H68" t="s">
        <v>63</v>
      </c>
      <c r="I68">
        <v>3</v>
      </c>
      <c r="J68" t="s">
        <v>8</v>
      </c>
      <c r="K68" s="5" t="s">
        <v>38</v>
      </c>
      <c r="L68" s="5" t="s">
        <v>11</v>
      </c>
      <c r="M68" s="5" t="s">
        <v>57</v>
      </c>
      <c r="N68" s="5" t="s">
        <v>58</v>
      </c>
      <c r="O68" s="5" t="s">
        <v>89</v>
      </c>
      <c r="P68" s="5" t="s">
        <v>15</v>
      </c>
      <c r="Q68" s="5" t="s">
        <v>17</v>
      </c>
      <c r="R68" s="5" t="s">
        <v>43</v>
      </c>
      <c r="S68" s="5" t="s">
        <v>21</v>
      </c>
      <c r="T68" s="6" t="s">
        <v>73</v>
      </c>
      <c r="U68" s="6">
        <v>0</v>
      </c>
      <c r="V68" s="6" t="s">
        <v>73</v>
      </c>
      <c r="W68">
        <v>0</v>
      </c>
      <c r="X68" s="6" t="s">
        <v>46</v>
      </c>
      <c r="Y68">
        <v>2</v>
      </c>
      <c r="Z68" s="5" t="s">
        <v>46</v>
      </c>
      <c r="AA68" s="5" t="s">
        <v>46</v>
      </c>
      <c r="AB68" s="5" t="s">
        <v>46</v>
      </c>
    </row>
    <row r="69" spans="1:28" x14ac:dyDescent="0.35">
      <c r="A69" s="8" t="s">
        <v>1175</v>
      </c>
      <c r="B69" s="5" t="s">
        <v>141</v>
      </c>
      <c r="C69" s="5">
        <v>1977</v>
      </c>
      <c r="D69">
        <f t="shared" ca="1" si="0"/>
        <v>48</v>
      </c>
      <c r="E69" s="5" t="s">
        <v>28</v>
      </c>
      <c r="F69" t="s">
        <v>29</v>
      </c>
      <c r="G69" t="str">
        <f t="shared" si="2"/>
        <v>&lt;500.000</v>
      </c>
      <c r="H69" t="s">
        <v>63</v>
      </c>
      <c r="I69">
        <v>3</v>
      </c>
      <c r="J69" t="s">
        <v>8</v>
      </c>
      <c r="K69" s="5" t="s">
        <v>38</v>
      </c>
      <c r="L69" s="5" t="s">
        <v>11</v>
      </c>
      <c r="M69" s="5" t="s">
        <v>57</v>
      </c>
      <c r="N69" s="5" t="s">
        <v>58</v>
      </c>
      <c r="O69" s="5" t="s">
        <v>89</v>
      </c>
      <c r="P69" s="5" t="s">
        <v>15</v>
      </c>
      <c r="Q69" s="5" t="s">
        <v>17</v>
      </c>
      <c r="R69" s="5" t="s">
        <v>43</v>
      </c>
      <c r="S69" s="5" t="s">
        <v>21</v>
      </c>
      <c r="T69" s="6" t="s">
        <v>73</v>
      </c>
      <c r="U69" s="6">
        <v>0</v>
      </c>
      <c r="V69" s="6" t="s">
        <v>73</v>
      </c>
      <c r="W69">
        <v>0</v>
      </c>
      <c r="X69" s="6" t="s">
        <v>46</v>
      </c>
      <c r="Y69">
        <v>2</v>
      </c>
      <c r="Z69" s="5" t="s">
        <v>46</v>
      </c>
      <c r="AA69" s="5" t="s">
        <v>46</v>
      </c>
      <c r="AB69" s="5" t="s">
        <v>46</v>
      </c>
    </row>
    <row r="70" spans="1:28" x14ac:dyDescent="0.35">
      <c r="A70" s="8" t="s">
        <v>1176</v>
      </c>
      <c r="B70" s="5" t="s">
        <v>142</v>
      </c>
      <c r="C70" s="5">
        <v>1952</v>
      </c>
      <c r="D70">
        <f t="shared" ca="1" si="0"/>
        <v>73</v>
      </c>
      <c r="E70" s="5" t="s">
        <v>6</v>
      </c>
      <c r="F70" t="s">
        <v>29</v>
      </c>
      <c r="G70" t="str">
        <f t="shared" si="2"/>
        <v>&lt;500.000</v>
      </c>
      <c r="H70" t="s">
        <v>30</v>
      </c>
      <c r="I70">
        <v>0</v>
      </c>
      <c r="J70" t="s">
        <v>8</v>
      </c>
      <c r="K70" s="5" t="s">
        <v>38</v>
      </c>
      <c r="L70" s="5" t="s">
        <v>11</v>
      </c>
      <c r="M70" s="5" t="s">
        <v>40</v>
      </c>
      <c r="N70" s="5" t="s">
        <v>37</v>
      </c>
      <c r="O70" s="5" t="s">
        <v>42</v>
      </c>
      <c r="P70" s="5" t="s">
        <v>133</v>
      </c>
      <c r="Q70" s="5" t="s">
        <v>17</v>
      </c>
      <c r="R70" s="5" t="s">
        <v>43</v>
      </c>
      <c r="S70" s="5" t="s">
        <v>21</v>
      </c>
      <c r="T70" s="6" t="s">
        <v>73</v>
      </c>
      <c r="U70" s="6">
        <v>0</v>
      </c>
      <c r="V70" s="6" t="s">
        <v>73</v>
      </c>
      <c r="W70">
        <v>0</v>
      </c>
      <c r="X70" s="6" t="s">
        <v>46</v>
      </c>
      <c r="Y70">
        <v>0</v>
      </c>
      <c r="Z70" s="5" t="s">
        <v>46</v>
      </c>
      <c r="AA70" s="5" t="s">
        <v>44</v>
      </c>
      <c r="AB70" s="5" t="s">
        <v>46</v>
      </c>
    </row>
    <row r="71" spans="1:28" x14ac:dyDescent="0.35">
      <c r="A71" s="8" t="s">
        <v>1177</v>
      </c>
      <c r="B71" s="5" t="s">
        <v>143</v>
      </c>
      <c r="C71" s="5">
        <v>1988</v>
      </c>
      <c r="D71">
        <f t="shared" ca="1" si="0"/>
        <v>37</v>
      </c>
      <c r="E71" s="5" t="s">
        <v>6</v>
      </c>
      <c r="F71" t="s">
        <v>54</v>
      </c>
      <c r="G71" t="str">
        <f t="shared" si="2"/>
        <v>1.000.000–2.000.000</v>
      </c>
      <c r="H71" t="s">
        <v>139</v>
      </c>
      <c r="I71">
        <v>0</v>
      </c>
      <c r="J71" t="s">
        <v>72</v>
      </c>
      <c r="K71" s="5" t="s">
        <v>38</v>
      </c>
      <c r="L71" s="5" t="s">
        <v>49</v>
      </c>
      <c r="M71" s="5" t="s">
        <v>57</v>
      </c>
      <c r="N71" s="5" t="s">
        <v>37</v>
      </c>
      <c r="O71" s="5" t="s">
        <v>42</v>
      </c>
      <c r="P71" s="5" t="s">
        <v>133</v>
      </c>
      <c r="Q71" s="5" t="s">
        <v>17</v>
      </c>
      <c r="R71" s="5" t="s">
        <v>43</v>
      </c>
      <c r="S71" s="5" t="s">
        <v>21</v>
      </c>
      <c r="T71" s="6" t="s">
        <v>73</v>
      </c>
      <c r="U71" s="6">
        <v>0</v>
      </c>
      <c r="V71" s="6" t="s">
        <v>76</v>
      </c>
      <c r="W71">
        <v>1</v>
      </c>
      <c r="X71" s="6" t="s">
        <v>46</v>
      </c>
      <c r="Y71">
        <v>0</v>
      </c>
      <c r="Z71" s="5" t="s">
        <v>46</v>
      </c>
      <c r="AA71" s="5" t="s">
        <v>46</v>
      </c>
      <c r="AB71" s="5" t="s">
        <v>46</v>
      </c>
    </row>
    <row r="72" spans="1:28" x14ac:dyDescent="0.35">
      <c r="A72" s="8" t="s">
        <v>1178</v>
      </c>
      <c r="B72" s="5" t="s">
        <v>144</v>
      </c>
      <c r="C72" s="5">
        <v>1991</v>
      </c>
      <c r="D72">
        <f t="shared" ca="1" si="0"/>
        <v>34</v>
      </c>
      <c r="E72" s="5" t="s">
        <v>28</v>
      </c>
      <c r="F72" t="s">
        <v>29</v>
      </c>
      <c r="G72" t="str">
        <f t="shared" si="2"/>
        <v>&lt;500.000</v>
      </c>
      <c r="H72" t="s">
        <v>63</v>
      </c>
      <c r="I72">
        <v>0</v>
      </c>
      <c r="J72" t="s">
        <v>72</v>
      </c>
      <c r="K72" s="5" t="s">
        <v>38</v>
      </c>
      <c r="L72" s="5" t="s">
        <v>49</v>
      </c>
      <c r="M72" s="5" t="s">
        <v>57</v>
      </c>
      <c r="N72" s="5" t="s">
        <v>37</v>
      </c>
      <c r="O72" s="5" t="s">
        <v>42</v>
      </c>
      <c r="P72" s="5" t="s">
        <v>133</v>
      </c>
      <c r="Q72" s="5" t="s">
        <v>17</v>
      </c>
      <c r="R72" s="5" t="s">
        <v>43</v>
      </c>
      <c r="S72" s="5" t="s">
        <v>21</v>
      </c>
      <c r="T72" s="6" t="s">
        <v>73</v>
      </c>
      <c r="U72" s="6">
        <v>0</v>
      </c>
      <c r="V72" s="6" t="s">
        <v>76</v>
      </c>
      <c r="W72">
        <v>1</v>
      </c>
      <c r="X72" s="6" t="s">
        <v>46</v>
      </c>
      <c r="Y72">
        <v>0</v>
      </c>
      <c r="Z72" s="5" t="s">
        <v>46</v>
      </c>
      <c r="AA72" s="5" t="s">
        <v>46</v>
      </c>
      <c r="AB72" s="5" t="s">
        <v>46</v>
      </c>
    </row>
    <row r="73" spans="1:28" x14ac:dyDescent="0.35">
      <c r="A73" s="8" t="s">
        <v>1179</v>
      </c>
      <c r="B73" s="5" t="s">
        <v>145</v>
      </c>
      <c r="C73" s="5">
        <v>1972</v>
      </c>
      <c r="D73">
        <f t="shared" ca="1" si="0"/>
        <v>53</v>
      </c>
      <c r="E73" s="5" t="s">
        <v>6</v>
      </c>
      <c r="F73" t="s">
        <v>55</v>
      </c>
      <c r="G73" t="str">
        <f t="shared" si="2"/>
        <v>500.000–1.000.000</v>
      </c>
      <c r="H73" t="s">
        <v>30</v>
      </c>
      <c r="I73">
        <v>2</v>
      </c>
      <c r="J73" t="s">
        <v>8</v>
      </c>
      <c r="K73" s="5" t="s">
        <v>114</v>
      </c>
      <c r="L73" s="5" t="s">
        <v>11</v>
      </c>
      <c r="M73" s="5" t="s">
        <v>57</v>
      </c>
      <c r="N73" s="5" t="s">
        <v>58</v>
      </c>
      <c r="O73" s="5" t="s">
        <v>42</v>
      </c>
      <c r="P73" s="5" t="s">
        <v>15</v>
      </c>
      <c r="Q73" s="5" t="s">
        <v>17</v>
      </c>
      <c r="R73" s="5" t="s">
        <v>43</v>
      </c>
      <c r="S73" s="5" t="s">
        <v>21</v>
      </c>
      <c r="T73" s="6" t="s">
        <v>84</v>
      </c>
      <c r="U73" s="6">
        <v>1</v>
      </c>
      <c r="V73" s="6" t="s">
        <v>146</v>
      </c>
      <c r="W73" s="6">
        <v>1</v>
      </c>
      <c r="X73" s="6" t="s">
        <v>46</v>
      </c>
      <c r="Y73">
        <v>1</v>
      </c>
      <c r="Z73" s="5" t="s">
        <v>46</v>
      </c>
      <c r="AA73" s="5" t="s">
        <v>46</v>
      </c>
      <c r="AB73" s="5" t="s">
        <v>46</v>
      </c>
    </row>
    <row r="74" spans="1:28" x14ac:dyDescent="0.35">
      <c r="A74" s="8" t="s">
        <v>1180</v>
      </c>
      <c r="B74" s="5" t="s">
        <v>147</v>
      </c>
      <c r="C74" s="5">
        <v>1973</v>
      </c>
      <c r="D74">
        <f t="shared" ca="1" si="0"/>
        <v>52</v>
      </c>
      <c r="E74" s="5" t="s">
        <v>28</v>
      </c>
      <c r="F74" t="s">
        <v>29</v>
      </c>
      <c r="G74" t="str">
        <f t="shared" si="2"/>
        <v>&lt;500.000</v>
      </c>
      <c r="H74" t="s">
        <v>30</v>
      </c>
      <c r="I74">
        <v>2</v>
      </c>
      <c r="J74" t="s">
        <v>8</v>
      </c>
      <c r="K74" s="5" t="s">
        <v>114</v>
      </c>
      <c r="L74" s="5" t="s">
        <v>11</v>
      </c>
      <c r="M74" s="5" t="s">
        <v>57</v>
      </c>
      <c r="N74" s="5" t="s">
        <v>58</v>
      </c>
      <c r="O74" s="5" t="s">
        <v>42</v>
      </c>
      <c r="P74" s="5" t="s">
        <v>15</v>
      </c>
      <c r="Q74" s="5" t="s">
        <v>17</v>
      </c>
      <c r="R74" s="5" t="s">
        <v>43</v>
      </c>
      <c r="S74" s="5" t="s">
        <v>21</v>
      </c>
      <c r="T74" s="6" t="s">
        <v>84</v>
      </c>
      <c r="U74" s="6">
        <v>1</v>
      </c>
      <c r="V74" s="6" t="s">
        <v>146</v>
      </c>
      <c r="W74" s="6">
        <v>1</v>
      </c>
      <c r="X74" s="6" t="s">
        <v>46</v>
      </c>
      <c r="Y74">
        <v>1</v>
      </c>
      <c r="Z74" s="5" t="s">
        <v>46</v>
      </c>
      <c r="AA74" s="5" t="s">
        <v>46</v>
      </c>
      <c r="AB74" s="5" t="s">
        <v>46</v>
      </c>
    </row>
    <row r="75" spans="1:28" x14ac:dyDescent="0.35">
      <c r="A75" s="8" t="s">
        <v>1181</v>
      </c>
      <c r="B75" s="5" t="s">
        <v>148</v>
      </c>
      <c r="C75" s="5">
        <v>1983</v>
      </c>
      <c r="D75">
        <f t="shared" ca="1" si="0"/>
        <v>42</v>
      </c>
      <c r="E75" s="5" t="s">
        <v>6</v>
      </c>
      <c r="F75" t="s">
        <v>137</v>
      </c>
      <c r="G75" t="str">
        <f t="shared" si="2"/>
        <v>500.000–1.000.000</v>
      </c>
      <c r="H75" t="s">
        <v>7</v>
      </c>
      <c r="I75">
        <v>2</v>
      </c>
      <c r="J75" t="s">
        <v>8</v>
      </c>
      <c r="K75" s="5" t="s">
        <v>114</v>
      </c>
      <c r="L75" s="5" t="s">
        <v>11</v>
      </c>
      <c r="M75" s="5" t="s">
        <v>57</v>
      </c>
      <c r="N75" s="5" t="s">
        <v>58</v>
      </c>
      <c r="O75" s="5" t="s">
        <v>42</v>
      </c>
      <c r="P75" s="5" t="s">
        <v>15</v>
      </c>
      <c r="Q75" s="5" t="s">
        <v>17</v>
      </c>
      <c r="R75" s="5" t="s">
        <v>43</v>
      </c>
      <c r="S75" s="5" t="s">
        <v>21</v>
      </c>
      <c r="T75" s="6" t="s">
        <v>23</v>
      </c>
      <c r="U75" s="6">
        <v>1</v>
      </c>
      <c r="V75" s="6" t="s">
        <v>26</v>
      </c>
      <c r="W75" s="6">
        <v>1</v>
      </c>
      <c r="X75" s="6" t="s">
        <v>46</v>
      </c>
      <c r="Y75">
        <v>1</v>
      </c>
      <c r="Z75" s="5" t="s">
        <v>46</v>
      </c>
      <c r="AA75" s="5" t="s">
        <v>46</v>
      </c>
      <c r="AB75" s="5" t="s">
        <v>46</v>
      </c>
    </row>
    <row r="76" spans="1:28" x14ac:dyDescent="0.35">
      <c r="A76" s="8" t="s">
        <v>1182</v>
      </c>
      <c r="B76" s="5" t="s">
        <v>149</v>
      </c>
      <c r="C76" s="5">
        <v>1979</v>
      </c>
      <c r="D76">
        <f t="shared" ca="1" si="0"/>
        <v>46</v>
      </c>
      <c r="E76" s="5" t="s">
        <v>28</v>
      </c>
      <c r="F76" t="s">
        <v>29</v>
      </c>
      <c r="G76" t="str">
        <f t="shared" si="2"/>
        <v>&lt;500.000</v>
      </c>
      <c r="H76" t="s">
        <v>30</v>
      </c>
      <c r="I76">
        <v>2</v>
      </c>
      <c r="J76" t="s">
        <v>8</v>
      </c>
      <c r="K76" s="5" t="s">
        <v>114</v>
      </c>
      <c r="L76" s="5" t="s">
        <v>11</v>
      </c>
      <c r="M76" s="5" t="s">
        <v>57</v>
      </c>
      <c r="N76" s="5" t="s">
        <v>58</v>
      </c>
      <c r="O76" s="5" t="s">
        <v>42</v>
      </c>
      <c r="P76" s="5" t="s">
        <v>15</v>
      </c>
      <c r="Q76" s="5" t="s">
        <v>17</v>
      </c>
      <c r="R76" s="5" t="s">
        <v>43</v>
      </c>
      <c r="S76" s="5" t="s">
        <v>21</v>
      </c>
      <c r="T76" s="6" t="s">
        <v>23</v>
      </c>
      <c r="U76" s="6">
        <v>1</v>
      </c>
      <c r="V76" s="6" t="s">
        <v>26</v>
      </c>
      <c r="W76" s="6">
        <v>1</v>
      </c>
      <c r="X76" s="6" t="s">
        <v>46</v>
      </c>
      <c r="Y76">
        <v>1</v>
      </c>
      <c r="Z76" s="5" t="s">
        <v>46</v>
      </c>
      <c r="AA76" s="5" t="s">
        <v>46</v>
      </c>
      <c r="AB76" s="5" t="s">
        <v>46</v>
      </c>
    </row>
    <row r="77" spans="1:28" x14ac:dyDescent="0.35">
      <c r="A77" s="8" t="s">
        <v>1183</v>
      </c>
      <c r="B77" s="5" t="s">
        <v>150</v>
      </c>
      <c r="C77" s="5">
        <v>1983</v>
      </c>
      <c r="D77">
        <f t="shared" ca="1" si="0"/>
        <v>42</v>
      </c>
      <c r="E77" s="5" t="s">
        <v>6</v>
      </c>
      <c r="F77" t="s">
        <v>151</v>
      </c>
      <c r="G77" t="str">
        <f t="shared" si="2"/>
        <v>1.000.000–2.000.000</v>
      </c>
      <c r="H77" t="s">
        <v>139</v>
      </c>
      <c r="I77">
        <v>2</v>
      </c>
      <c r="J77" t="s">
        <v>8</v>
      </c>
      <c r="K77" s="5" t="s">
        <v>38</v>
      </c>
      <c r="L77" s="5" t="s">
        <v>11</v>
      </c>
      <c r="M77" s="5" t="s">
        <v>40</v>
      </c>
      <c r="N77" s="5" t="s">
        <v>37</v>
      </c>
      <c r="O77" s="5" t="s">
        <v>42</v>
      </c>
      <c r="P77" s="5" t="s">
        <v>15</v>
      </c>
      <c r="Q77" s="5" t="s">
        <v>17</v>
      </c>
      <c r="R77" s="5" t="s">
        <v>43</v>
      </c>
      <c r="S77" s="5" t="s">
        <v>21</v>
      </c>
      <c r="T77" s="6" t="s">
        <v>23</v>
      </c>
      <c r="U77" s="6">
        <v>1</v>
      </c>
      <c r="V77" s="6" t="s">
        <v>52</v>
      </c>
      <c r="W77" s="6">
        <v>1</v>
      </c>
      <c r="X77" s="6" t="s">
        <v>46</v>
      </c>
      <c r="Y77">
        <v>1</v>
      </c>
      <c r="Z77" s="5" t="s">
        <v>44</v>
      </c>
      <c r="AA77" s="5" t="s">
        <v>46</v>
      </c>
      <c r="AB77" s="5" t="s">
        <v>46</v>
      </c>
    </row>
    <row r="78" spans="1:28" x14ac:dyDescent="0.35">
      <c r="A78" s="8" t="s">
        <v>1184</v>
      </c>
      <c r="B78" s="5" t="s">
        <v>152</v>
      </c>
      <c r="C78" s="5">
        <v>1988</v>
      </c>
      <c r="D78">
        <f t="shared" ca="1" si="0"/>
        <v>37</v>
      </c>
      <c r="E78" s="5" t="s">
        <v>28</v>
      </c>
      <c r="F78" t="s">
        <v>29</v>
      </c>
      <c r="G78" t="str">
        <f t="shared" si="2"/>
        <v>500.000–1.000.000</v>
      </c>
      <c r="H78" t="s">
        <v>7</v>
      </c>
      <c r="I78">
        <v>2</v>
      </c>
      <c r="J78" t="s">
        <v>8</v>
      </c>
      <c r="K78" s="5" t="s">
        <v>38</v>
      </c>
      <c r="L78" s="5" t="s">
        <v>11</v>
      </c>
      <c r="M78" s="5" t="s">
        <v>40</v>
      </c>
      <c r="N78" s="5" t="s">
        <v>37</v>
      </c>
      <c r="O78" s="5" t="s">
        <v>42</v>
      </c>
      <c r="P78" s="5" t="s">
        <v>15</v>
      </c>
      <c r="Q78" s="5" t="s">
        <v>17</v>
      </c>
      <c r="R78" s="5" t="s">
        <v>43</v>
      </c>
      <c r="S78" s="5" t="s">
        <v>21</v>
      </c>
      <c r="T78" s="6" t="s">
        <v>23</v>
      </c>
      <c r="U78" s="6">
        <v>1</v>
      </c>
      <c r="V78" s="6" t="s">
        <v>52</v>
      </c>
      <c r="W78" s="6">
        <v>1</v>
      </c>
      <c r="X78" s="6" t="s">
        <v>46</v>
      </c>
      <c r="Y78">
        <v>1</v>
      </c>
      <c r="Z78" s="5" t="s">
        <v>44</v>
      </c>
      <c r="AA78" s="5" t="s">
        <v>46</v>
      </c>
      <c r="AB78" s="5" t="s">
        <v>46</v>
      </c>
    </row>
    <row r="79" spans="1:28" x14ac:dyDescent="0.35">
      <c r="A79" s="8" t="s">
        <v>1185</v>
      </c>
      <c r="B79" s="5" t="s">
        <v>97</v>
      </c>
      <c r="C79" s="5">
        <v>1955</v>
      </c>
      <c r="D79">
        <f t="shared" ca="1" si="0"/>
        <v>70</v>
      </c>
      <c r="E79" s="5" t="s">
        <v>6</v>
      </c>
      <c r="F79" t="s">
        <v>151</v>
      </c>
      <c r="G79" t="str">
        <f t="shared" si="2"/>
        <v>500.000–1.000.000</v>
      </c>
      <c r="H79" t="s">
        <v>30</v>
      </c>
      <c r="I79">
        <v>0</v>
      </c>
      <c r="J79" t="s">
        <v>8</v>
      </c>
      <c r="K79" s="5" t="s">
        <v>38</v>
      </c>
      <c r="L79" s="5" t="s">
        <v>11</v>
      </c>
      <c r="M79" s="5" t="s">
        <v>57</v>
      </c>
      <c r="N79" s="5" t="s">
        <v>58</v>
      </c>
      <c r="O79" s="5" t="s">
        <v>89</v>
      </c>
      <c r="P79" s="5" t="s">
        <v>15</v>
      </c>
      <c r="Q79" s="5" t="s">
        <v>17</v>
      </c>
      <c r="R79" s="5" t="s">
        <v>43</v>
      </c>
      <c r="S79" s="5" t="s">
        <v>21</v>
      </c>
      <c r="T79" s="6" t="s">
        <v>73</v>
      </c>
      <c r="U79" s="6">
        <v>0</v>
      </c>
      <c r="V79" s="6" t="s">
        <v>117</v>
      </c>
      <c r="W79">
        <v>1</v>
      </c>
      <c r="X79" s="6" t="s">
        <v>46</v>
      </c>
      <c r="Y79">
        <v>0</v>
      </c>
      <c r="Z79" s="5" t="s">
        <v>46</v>
      </c>
      <c r="AA79" s="5" t="s">
        <v>44</v>
      </c>
      <c r="AB79" s="5" t="s">
        <v>35</v>
      </c>
    </row>
    <row r="80" spans="1:28" x14ac:dyDescent="0.35">
      <c r="A80" s="8" t="s">
        <v>1186</v>
      </c>
      <c r="B80" s="5" t="s">
        <v>153</v>
      </c>
      <c r="C80" s="5">
        <v>1994</v>
      </c>
      <c r="D80">
        <f t="shared" ca="1" si="0"/>
        <v>31</v>
      </c>
      <c r="E80" s="5" t="s">
        <v>6</v>
      </c>
      <c r="F80" t="s">
        <v>55</v>
      </c>
      <c r="G80" t="str">
        <f t="shared" si="2"/>
        <v>500.000–1.000.000</v>
      </c>
      <c r="H80" t="s">
        <v>7</v>
      </c>
      <c r="I80">
        <v>1</v>
      </c>
      <c r="J80" t="s">
        <v>8</v>
      </c>
      <c r="K80" s="5" t="s">
        <v>38</v>
      </c>
      <c r="L80" s="5" t="s">
        <v>11</v>
      </c>
      <c r="M80" s="5" t="s">
        <v>57</v>
      </c>
      <c r="N80" s="5" t="s">
        <v>58</v>
      </c>
      <c r="O80" s="5" t="s">
        <v>42</v>
      </c>
      <c r="P80" s="5" t="s">
        <v>15</v>
      </c>
      <c r="Q80" s="5" t="s">
        <v>17</v>
      </c>
      <c r="R80" s="5" t="s">
        <v>43</v>
      </c>
      <c r="S80" s="5" t="s">
        <v>21</v>
      </c>
      <c r="T80" s="6" t="s">
        <v>23</v>
      </c>
      <c r="U80" s="6">
        <v>1</v>
      </c>
      <c r="V80" s="6" t="s">
        <v>26</v>
      </c>
      <c r="W80">
        <v>1</v>
      </c>
      <c r="X80" s="6" t="s">
        <v>46</v>
      </c>
      <c r="Y80">
        <v>1</v>
      </c>
      <c r="Z80" s="5" t="s">
        <v>46</v>
      </c>
      <c r="AA80" s="5" t="s">
        <v>46</v>
      </c>
      <c r="AB80" s="5" t="s">
        <v>46</v>
      </c>
    </row>
    <row r="81" spans="1:28" x14ac:dyDescent="0.35">
      <c r="A81" s="8" t="s">
        <v>1187</v>
      </c>
      <c r="B81" s="5" t="s">
        <v>154</v>
      </c>
      <c r="C81" s="5">
        <v>1997</v>
      </c>
      <c r="D81">
        <f t="shared" ca="1" si="0"/>
        <v>28</v>
      </c>
      <c r="E81" s="5" t="s">
        <v>28</v>
      </c>
      <c r="F81" t="s">
        <v>55</v>
      </c>
      <c r="G81" t="str">
        <f t="shared" si="2"/>
        <v>500.000–1.000.000</v>
      </c>
      <c r="H81" t="s">
        <v>7</v>
      </c>
      <c r="I81">
        <v>1</v>
      </c>
      <c r="J81" t="s">
        <v>8</v>
      </c>
      <c r="K81" s="5" t="s">
        <v>38</v>
      </c>
      <c r="L81" s="5" t="s">
        <v>11</v>
      </c>
      <c r="M81" s="5" t="s">
        <v>57</v>
      </c>
      <c r="N81" s="5" t="s">
        <v>58</v>
      </c>
      <c r="O81" s="5" t="s">
        <v>42</v>
      </c>
      <c r="P81" s="5" t="s">
        <v>15</v>
      </c>
      <c r="Q81" s="5" t="s">
        <v>17</v>
      </c>
      <c r="R81" s="5" t="s">
        <v>43</v>
      </c>
      <c r="S81" s="5" t="s">
        <v>21</v>
      </c>
      <c r="T81" s="6" t="s">
        <v>23</v>
      </c>
      <c r="U81" s="6">
        <v>1</v>
      </c>
      <c r="V81" s="6" t="s">
        <v>26</v>
      </c>
      <c r="W81">
        <v>1</v>
      </c>
      <c r="X81" s="6" t="s">
        <v>46</v>
      </c>
      <c r="Y81">
        <v>1</v>
      </c>
      <c r="Z81" s="5" t="s">
        <v>46</v>
      </c>
      <c r="AA81" s="5" t="s">
        <v>46</v>
      </c>
      <c r="AB81" s="5" t="s">
        <v>46</v>
      </c>
    </row>
    <row r="82" spans="1:28" x14ac:dyDescent="0.35">
      <c r="A82" s="8" t="s">
        <v>1188</v>
      </c>
      <c r="B82" s="5" t="s">
        <v>155</v>
      </c>
      <c r="C82" s="5">
        <v>1989</v>
      </c>
      <c r="D82">
        <f t="shared" ca="1" si="0"/>
        <v>36</v>
      </c>
      <c r="E82" s="5" t="s">
        <v>6</v>
      </c>
      <c r="F82" t="s">
        <v>54</v>
      </c>
      <c r="G82" t="str">
        <f t="shared" si="2"/>
        <v>500.000–1.000.000</v>
      </c>
      <c r="H82" t="s">
        <v>7</v>
      </c>
      <c r="I82">
        <v>2</v>
      </c>
      <c r="J82" t="s">
        <v>48</v>
      </c>
      <c r="K82" s="5" t="s">
        <v>38</v>
      </c>
      <c r="L82" s="5" t="s">
        <v>11</v>
      </c>
      <c r="M82" s="5" t="s">
        <v>40</v>
      </c>
      <c r="N82" s="5" t="s">
        <v>37</v>
      </c>
      <c r="O82" s="5" t="s">
        <v>42</v>
      </c>
      <c r="P82" s="5" t="s">
        <v>133</v>
      </c>
      <c r="Q82" s="5" t="s">
        <v>17</v>
      </c>
      <c r="R82" s="5" t="s">
        <v>43</v>
      </c>
      <c r="S82" s="5" t="s">
        <v>21</v>
      </c>
      <c r="T82" s="6" t="s">
        <v>23</v>
      </c>
      <c r="U82" s="6">
        <v>1</v>
      </c>
      <c r="V82" s="6" t="s">
        <v>76</v>
      </c>
      <c r="W82">
        <v>1</v>
      </c>
      <c r="X82" s="6" t="s">
        <v>46</v>
      </c>
      <c r="Y82">
        <v>1</v>
      </c>
      <c r="Z82" s="5" t="s">
        <v>44</v>
      </c>
      <c r="AA82" s="5" t="s">
        <v>46</v>
      </c>
      <c r="AB82" s="5" t="s">
        <v>46</v>
      </c>
    </row>
    <row r="83" spans="1:28" x14ac:dyDescent="0.35">
      <c r="A83" s="8" t="s">
        <v>1189</v>
      </c>
      <c r="B83" s="5" t="s">
        <v>156</v>
      </c>
      <c r="C83" s="5">
        <v>1994</v>
      </c>
      <c r="D83">
        <f t="shared" ca="1" si="0"/>
        <v>31</v>
      </c>
      <c r="E83" s="5" t="s">
        <v>28</v>
      </c>
      <c r="F83" t="s">
        <v>29</v>
      </c>
      <c r="G83" t="str">
        <f t="shared" si="2"/>
        <v>500.000–1.000.000</v>
      </c>
      <c r="H83" t="s">
        <v>7</v>
      </c>
      <c r="I83">
        <v>2</v>
      </c>
      <c r="J83" t="s">
        <v>48</v>
      </c>
      <c r="K83" s="5" t="s">
        <v>38</v>
      </c>
      <c r="L83" s="5" t="s">
        <v>11</v>
      </c>
      <c r="M83" s="5" t="s">
        <v>40</v>
      </c>
      <c r="N83" s="5" t="s">
        <v>37</v>
      </c>
      <c r="O83" s="5" t="s">
        <v>42</v>
      </c>
      <c r="P83" s="5" t="s">
        <v>133</v>
      </c>
      <c r="Q83" s="5" t="s">
        <v>17</v>
      </c>
      <c r="R83" s="5" t="s">
        <v>43</v>
      </c>
      <c r="S83" s="5" t="s">
        <v>21</v>
      </c>
      <c r="T83" s="6" t="s">
        <v>23</v>
      </c>
      <c r="U83" s="6">
        <v>1</v>
      </c>
      <c r="V83" s="6" t="s">
        <v>76</v>
      </c>
      <c r="W83">
        <v>1</v>
      </c>
      <c r="X83" s="6" t="s">
        <v>46</v>
      </c>
      <c r="Y83">
        <v>1</v>
      </c>
      <c r="Z83" s="5" t="s">
        <v>44</v>
      </c>
      <c r="AA83" s="5" t="s">
        <v>46</v>
      </c>
      <c r="AB83" s="5" t="s">
        <v>46</v>
      </c>
    </row>
    <row r="84" spans="1:28" x14ac:dyDescent="0.35">
      <c r="A84" s="8" t="s">
        <v>1190</v>
      </c>
      <c r="B84" s="5" t="s">
        <v>157</v>
      </c>
      <c r="C84" s="5">
        <v>1988</v>
      </c>
      <c r="D84">
        <f t="shared" ca="1" si="0"/>
        <v>37</v>
      </c>
      <c r="E84" s="5" t="s">
        <v>6</v>
      </c>
      <c r="F84" t="s">
        <v>29</v>
      </c>
      <c r="G84" t="str">
        <f t="shared" si="2"/>
        <v>&lt;500.000</v>
      </c>
      <c r="H84" t="s">
        <v>63</v>
      </c>
      <c r="I84">
        <v>2</v>
      </c>
      <c r="J84" t="s">
        <v>72</v>
      </c>
      <c r="K84" s="5" t="s">
        <v>38</v>
      </c>
      <c r="L84" s="5" t="s">
        <v>11</v>
      </c>
      <c r="M84" s="5" t="s">
        <v>57</v>
      </c>
      <c r="N84" s="5" t="s">
        <v>58</v>
      </c>
      <c r="O84" s="5" t="s">
        <v>89</v>
      </c>
      <c r="P84" s="5" t="s">
        <v>15</v>
      </c>
      <c r="Q84" s="5" t="s">
        <v>17</v>
      </c>
      <c r="R84" s="5" t="s">
        <v>43</v>
      </c>
      <c r="S84" s="5" t="s">
        <v>21</v>
      </c>
      <c r="T84" s="6" t="s">
        <v>73</v>
      </c>
      <c r="U84" s="6">
        <v>0</v>
      </c>
      <c r="V84" s="6" t="s">
        <v>73</v>
      </c>
      <c r="W84">
        <v>0</v>
      </c>
      <c r="X84" s="6" t="s">
        <v>46</v>
      </c>
      <c r="Y84">
        <v>1</v>
      </c>
      <c r="Z84" s="5" t="s">
        <v>46</v>
      </c>
      <c r="AA84" s="5" t="s">
        <v>46</v>
      </c>
      <c r="AB84" s="5" t="s">
        <v>46</v>
      </c>
    </row>
    <row r="85" spans="1:28" x14ac:dyDescent="0.35">
      <c r="A85" s="8" t="s">
        <v>1191</v>
      </c>
      <c r="B85" s="5" t="s">
        <v>158</v>
      </c>
      <c r="C85" s="5">
        <v>1993</v>
      </c>
      <c r="D85">
        <f t="shared" ca="1" si="0"/>
        <v>32</v>
      </c>
      <c r="E85" s="5" t="s">
        <v>28</v>
      </c>
      <c r="F85" t="s">
        <v>29</v>
      </c>
      <c r="G85" t="str">
        <f t="shared" si="2"/>
        <v>&lt;500.000</v>
      </c>
      <c r="H85" t="s">
        <v>63</v>
      </c>
      <c r="I85">
        <v>2</v>
      </c>
      <c r="J85" t="s">
        <v>72</v>
      </c>
      <c r="K85" s="5" t="s">
        <v>38</v>
      </c>
      <c r="L85" s="5" t="s">
        <v>11</v>
      </c>
      <c r="M85" s="5" t="s">
        <v>57</v>
      </c>
      <c r="N85" s="5" t="s">
        <v>58</v>
      </c>
      <c r="O85" s="5" t="s">
        <v>89</v>
      </c>
      <c r="P85" s="5" t="s">
        <v>15</v>
      </c>
      <c r="Q85" s="5" t="s">
        <v>17</v>
      </c>
      <c r="R85" s="5" t="s">
        <v>43</v>
      </c>
      <c r="S85" s="5" t="s">
        <v>21</v>
      </c>
      <c r="T85" s="6" t="s">
        <v>73</v>
      </c>
      <c r="U85" s="6">
        <v>0</v>
      </c>
      <c r="V85" s="6" t="s">
        <v>73</v>
      </c>
      <c r="W85">
        <v>0</v>
      </c>
      <c r="X85" s="6" t="s">
        <v>46</v>
      </c>
      <c r="Y85">
        <v>1</v>
      </c>
      <c r="Z85" s="5" t="s">
        <v>46</v>
      </c>
      <c r="AA85" s="5" t="s">
        <v>46</v>
      </c>
      <c r="AB85" s="5" t="s">
        <v>46</v>
      </c>
    </row>
    <row r="86" spans="1:28" x14ac:dyDescent="0.35">
      <c r="A86" s="8" t="s">
        <v>1192</v>
      </c>
      <c r="B86" s="5" t="s">
        <v>159</v>
      </c>
      <c r="C86">
        <v>1970</v>
      </c>
      <c r="D86">
        <f t="shared" ca="1" si="0"/>
        <v>55</v>
      </c>
      <c r="E86" s="5" t="s">
        <v>6</v>
      </c>
      <c r="F86" t="s">
        <v>151</v>
      </c>
      <c r="G86" t="str">
        <f t="shared" si="2"/>
        <v>1.000.000–2.000.000</v>
      </c>
      <c r="H86" t="s">
        <v>139</v>
      </c>
      <c r="I86">
        <v>3</v>
      </c>
      <c r="J86" t="s">
        <v>8</v>
      </c>
      <c r="K86" s="5" t="s">
        <v>114</v>
      </c>
      <c r="L86" s="5" t="s">
        <v>11</v>
      </c>
      <c r="M86" s="5" t="s">
        <v>57</v>
      </c>
      <c r="N86" s="5" t="s">
        <v>58</v>
      </c>
      <c r="O86" s="5" t="s">
        <v>42</v>
      </c>
      <c r="P86" s="5" t="s">
        <v>15</v>
      </c>
      <c r="Q86" s="5" t="s">
        <v>17</v>
      </c>
      <c r="R86" s="5" t="s">
        <v>43</v>
      </c>
      <c r="S86" s="5" t="s">
        <v>21</v>
      </c>
      <c r="T86" s="6" t="s">
        <v>23</v>
      </c>
      <c r="U86" s="6">
        <v>1</v>
      </c>
      <c r="V86" s="6" t="s">
        <v>26</v>
      </c>
      <c r="W86" s="6">
        <v>1</v>
      </c>
      <c r="X86" s="6" t="s">
        <v>46</v>
      </c>
      <c r="Y86">
        <v>2</v>
      </c>
      <c r="Z86" s="5" t="s">
        <v>46</v>
      </c>
      <c r="AA86" s="5" t="s">
        <v>46</v>
      </c>
      <c r="AB86" s="5" t="s">
        <v>46</v>
      </c>
    </row>
    <row r="87" spans="1:28" x14ac:dyDescent="0.35">
      <c r="A87" s="8" t="s">
        <v>1193</v>
      </c>
      <c r="B87" s="5" t="s">
        <v>160</v>
      </c>
      <c r="C87">
        <v>1973</v>
      </c>
      <c r="D87">
        <f t="shared" ca="1" si="0"/>
        <v>52</v>
      </c>
      <c r="E87" s="5" t="s">
        <v>28</v>
      </c>
      <c r="F87" t="s">
        <v>29</v>
      </c>
      <c r="G87" t="str">
        <f t="shared" si="2"/>
        <v>500.000–1.000.000</v>
      </c>
      <c r="H87" t="s">
        <v>7</v>
      </c>
      <c r="I87">
        <v>3</v>
      </c>
      <c r="J87" t="s">
        <v>8</v>
      </c>
      <c r="K87" s="5" t="s">
        <v>114</v>
      </c>
      <c r="L87" s="5" t="s">
        <v>11</v>
      </c>
      <c r="M87" s="5" t="s">
        <v>57</v>
      </c>
      <c r="N87" s="5" t="s">
        <v>58</v>
      </c>
      <c r="O87" s="5" t="s">
        <v>42</v>
      </c>
      <c r="P87" s="5" t="s">
        <v>15</v>
      </c>
      <c r="Q87" s="5" t="s">
        <v>17</v>
      </c>
      <c r="R87" s="5" t="s">
        <v>43</v>
      </c>
      <c r="S87" s="5" t="s">
        <v>21</v>
      </c>
      <c r="T87" s="6" t="s">
        <v>23</v>
      </c>
      <c r="U87" s="6">
        <v>1</v>
      </c>
      <c r="V87" s="6" t="s">
        <v>26</v>
      </c>
      <c r="W87" s="6">
        <v>1</v>
      </c>
      <c r="X87" s="6" t="s">
        <v>46</v>
      </c>
      <c r="Y87">
        <v>2</v>
      </c>
      <c r="Z87" s="5" t="s">
        <v>46</v>
      </c>
      <c r="AA87" s="5" t="s">
        <v>46</v>
      </c>
      <c r="AB87" s="5" t="s">
        <v>46</v>
      </c>
    </row>
    <row r="88" spans="1:28" x14ac:dyDescent="0.35">
      <c r="A88" s="8" t="s">
        <v>1194</v>
      </c>
      <c r="B88" s="5" t="s">
        <v>161</v>
      </c>
      <c r="C88">
        <v>1979</v>
      </c>
      <c r="D88">
        <f t="shared" ca="1" si="0"/>
        <v>46</v>
      </c>
      <c r="E88" s="5" t="s">
        <v>6</v>
      </c>
      <c r="F88" t="s">
        <v>162</v>
      </c>
      <c r="G88" t="str">
        <f t="shared" si="2"/>
        <v>1.000.000–2.000.000</v>
      </c>
      <c r="H88" t="s">
        <v>7</v>
      </c>
      <c r="I88">
        <v>2</v>
      </c>
      <c r="J88" t="s">
        <v>48</v>
      </c>
      <c r="K88" s="5" t="s">
        <v>38</v>
      </c>
      <c r="L88" s="5" t="s">
        <v>49</v>
      </c>
      <c r="M88" s="5" t="s">
        <v>57</v>
      </c>
      <c r="N88" s="5" t="s">
        <v>58</v>
      </c>
      <c r="O88" s="5" t="s">
        <v>42</v>
      </c>
      <c r="P88" s="5" t="s">
        <v>15</v>
      </c>
      <c r="Q88" s="5" t="s">
        <v>17</v>
      </c>
      <c r="R88" s="5" t="s">
        <v>43</v>
      </c>
      <c r="S88" s="5" t="s">
        <v>21</v>
      </c>
      <c r="T88" s="6" t="s">
        <v>23</v>
      </c>
      <c r="U88" s="6">
        <v>1</v>
      </c>
      <c r="V88" s="6" t="s">
        <v>76</v>
      </c>
      <c r="W88" s="6">
        <v>1</v>
      </c>
      <c r="X88" s="6" t="s">
        <v>46</v>
      </c>
      <c r="Y88">
        <v>0</v>
      </c>
      <c r="Z88" s="5" t="s">
        <v>46</v>
      </c>
      <c r="AA88" s="5" t="s">
        <v>46</v>
      </c>
      <c r="AB88" s="5" t="s">
        <v>46</v>
      </c>
    </row>
    <row r="89" spans="1:28" x14ac:dyDescent="0.35">
      <c r="A89" s="8" t="s">
        <v>1195</v>
      </c>
      <c r="B89" s="5" t="s">
        <v>163</v>
      </c>
      <c r="C89">
        <v>1958</v>
      </c>
      <c r="D89">
        <f t="shared" ca="1" si="0"/>
        <v>67</v>
      </c>
      <c r="E89" s="5" t="s">
        <v>6</v>
      </c>
      <c r="F89" t="s">
        <v>55</v>
      </c>
      <c r="G89" t="str">
        <f t="shared" si="2"/>
        <v>500.000–1.000.000</v>
      </c>
      <c r="H89" t="s">
        <v>30</v>
      </c>
      <c r="I89">
        <v>0</v>
      </c>
      <c r="J89" t="s">
        <v>8</v>
      </c>
      <c r="K89" s="5" t="s">
        <v>38</v>
      </c>
      <c r="L89" s="5" t="s">
        <v>11</v>
      </c>
      <c r="M89" s="5" t="s">
        <v>40</v>
      </c>
      <c r="N89" s="5" t="s">
        <v>37</v>
      </c>
      <c r="O89" s="5" t="s">
        <v>42</v>
      </c>
      <c r="P89" s="5" t="s">
        <v>133</v>
      </c>
      <c r="Q89" s="5" t="s">
        <v>17</v>
      </c>
      <c r="R89" s="5" t="s">
        <v>164</v>
      </c>
      <c r="S89" s="5" t="s">
        <v>21</v>
      </c>
      <c r="T89" s="6" t="s">
        <v>73</v>
      </c>
      <c r="U89" s="6">
        <v>0</v>
      </c>
      <c r="V89" s="6" t="s">
        <v>117</v>
      </c>
      <c r="W89" s="6">
        <v>0</v>
      </c>
      <c r="X89" s="6" t="s">
        <v>46</v>
      </c>
      <c r="Y89">
        <v>0</v>
      </c>
      <c r="Z89" s="5" t="s">
        <v>46</v>
      </c>
      <c r="AA89" s="5" t="s">
        <v>44</v>
      </c>
      <c r="AB89" s="5" t="s">
        <v>74</v>
      </c>
    </row>
    <row r="90" spans="1:28" x14ac:dyDescent="0.35">
      <c r="A90" s="8" t="s">
        <v>1196</v>
      </c>
      <c r="B90" s="5" t="s">
        <v>165</v>
      </c>
      <c r="C90">
        <v>1967</v>
      </c>
      <c r="D90">
        <f t="shared" ca="1" si="0"/>
        <v>58</v>
      </c>
      <c r="E90" s="5" t="s">
        <v>6</v>
      </c>
      <c r="F90" t="s">
        <v>29</v>
      </c>
      <c r="G90" t="str">
        <f t="shared" si="2"/>
        <v>&lt;500.000</v>
      </c>
      <c r="H90" t="s">
        <v>63</v>
      </c>
      <c r="I90">
        <v>0</v>
      </c>
      <c r="J90" t="s">
        <v>8</v>
      </c>
      <c r="K90" s="5" t="s">
        <v>38</v>
      </c>
      <c r="L90" s="5" t="s">
        <v>39</v>
      </c>
      <c r="M90" s="5" t="s">
        <v>57</v>
      </c>
      <c r="N90" s="5" t="s">
        <v>58</v>
      </c>
      <c r="O90" s="5" t="s">
        <v>89</v>
      </c>
      <c r="P90" s="5" t="s">
        <v>15</v>
      </c>
      <c r="Q90" s="5" t="s">
        <v>17</v>
      </c>
      <c r="R90" s="5" t="s">
        <v>43</v>
      </c>
      <c r="S90" s="5" t="s">
        <v>21</v>
      </c>
      <c r="T90" s="6" t="s">
        <v>73</v>
      </c>
      <c r="U90" s="6">
        <v>0</v>
      </c>
      <c r="V90" s="6" t="s">
        <v>73</v>
      </c>
      <c r="W90" s="6">
        <v>0</v>
      </c>
      <c r="X90" s="6" t="s">
        <v>46</v>
      </c>
      <c r="Y90">
        <v>0</v>
      </c>
      <c r="Z90" s="5" t="s">
        <v>46</v>
      </c>
      <c r="AA90" s="5" t="s">
        <v>46</v>
      </c>
      <c r="AB90" s="5" t="s">
        <v>74</v>
      </c>
    </row>
    <row r="91" spans="1:28" x14ac:dyDescent="0.35">
      <c r="A91" s="8" t="s">
        <v>1197</v>
      </c>
      <c r="B91" s="5" t="s">
        <v>166</v>
      </c>
      <c r="C91">
        <v>1985</v>
      </c>
      <c r="D91">
        <f t="shared" ca="1" si="0"/>
        <v>40</v>
      </c>
      <c r="E91" s="5" t="s">
        <v>6</v>
      </c>
      <c r="F91" t="s">
        <v>54</v>
      </c>
      <c r="G91" t="str">
        <f t="shared" si="2"/>
        <v>500.000–1.000.000</v>
      </c>
      <c r="H91" t="s">
        <v>30</v>
      </c>
      <c r="I91">
        <v>3</v>
      </c>
      <c r="J91" t="s">
        <v>72</v>
      </c>
      <c r="K91" s="5" t="s">
        <v>38</v>
      </c>
      <c r="L91" s="5" t="s">
        <v>11</v>
      </c>
      <c r="M91" s="5" t="s">
        <v>57</v>
      </c>
      <c r="N91" s="5" t="s">
        <v>58</v>
      </c>
      <c r="O91" s="5" t="s">
        <v>42</v>
      </c>
      <c r="P91" s="5" t="s">
        <v>15</v>
      </c>
      <c r="Q91" s="5" t="s">
        <v>17</v>
      </c>
      <c r="R91" s="5" t="s">
        <v>43</v>
      </c>
      <c r="S91" s="5" t="s">
        <v>21</v>
      </c>
      <c r="T91" s="6" t="s">
        <v>84</v>
      </c>
      <c r="U91" s="6">
        <v>1</v>
      </c>
      <c r="V91" s="6" t="s">
        <v>76</v>
      </c>
      <c r="W91" s="6">
        <v>1</v>
      </c>
      <c r="X91" s="6" t="s">
        <v>46</v>
      </c>
      <c r="Y91">
        <v>3</v>
      </c>
      <c r="Z91" s="5" t="s">
        <v>46</v>
      </c>
      <c r="AA91" s="5" t="s">
        <v>46</v>
      </c>
      <c r="AB91" s="5" t="s">
        <v>46</v>
      </c>
    </row>
    <row r="92" spans="1:28" x14ac:dyDescent="0.35">
      <c r="A92" s="8" t="s">
        <v>1198</v>
      </c>
      <c r="B92" s="5" t="s">
        <v>167</v>
      </c>
      <c r="C92">
        <v>1985</v>
      </c>
      <c r="D92">
        <f t="shared" ca="1" si="0"/>
        <v>40</v>
      </c>
      <c r="E92" s="5" t="s">
        <v>28</v>
      </c>
      <c r="F92" t="s">
        <v>29</v>
      </c>
      <c r="G92" t="str">
        <f t="shared" si="2"/>
        <v>&lt;500.000</v>
      </c>
      <c r="H92" t="s">
        <v>30</v>
      </c>
      <c r="I92">
        <v>3</v>
      </c>
      <c r="J92" t="s">
        <v>72</v>
      </c>
      <c r="K92" s="5" t="s">
        <v>38</v>
      </c>
      <c r="L92" s="5" t="s">
        <v>11</v>
      </c>
      <c r="M92" s="5" t="s">
        <v>57</v>
      </c>
      <c r="N92" s="5" t="s">
        <v>58</v>
      </c>
      <c r="O92" s="5" t="s">
        <v>42</v>
      </c>
      <c r="P92" s="5" t="s">
        <v>15</v>
      </c>
      <c r="Q92" s="5" t="s">
        <v>17</v>
      </c>
      <c r="R92" s="5" t="s">
        <v>43</v>
      </c>
      <c r="S92" s="5" t="s">
        <v>21</v>
      </c>
      <c r="T92" s="6" t="s">
        <v>84</v>
      </c>
      <c r="U92" s="6">
        <v>1</v>
      </c>
      <c r="V92" s="6" t="s">
        <v>76</v>
      </c>
      <c r="W92" s="6">
        <v>1</v>
      </c>
      <c r="X92" s="6" t="s">
        <v>46</v>
      </c>
      <c r="Y92">
        <v>3</v>
      </c>
      <c r="Z92" s="5" t="s">
        <v>46</v>
      </c>
      <c r="AA92" s="5" t="s">
        <v>46</v>
      </c>
      <c r="AB92" s="5" t="s">
        <v>46</v>
      </c>
    </row>
    <row r="93" spans="1:28" x14ac:dyDescent="0.35">
      <c r="A93" s="8" t="s">
        <v>1199</v>
      </c>
      <c r="B93" s="5" t="s">
        <v>168</v>
      </c>
      <c r="C93">
        <v>1958</v>
      </c>
      <c r="D93">
        <f t="shared" ca="1" si="0"/>
        <v>67</v>
      </c>
      <c r="E93" s="5" t="s">
        <v>6</v>
      </c>
      <c r="F93" t="s">
        <v>137</v>
      </c>
      <c r="G93" t="str">
        <f t="shared" si="2"/>
        <v>500.000–1.000.000</v>
      </c>
      <c r="H93" t="s">
        <v>30</v>
      </c>
      <c r="I93">
        <v>3</v>
      </c>
      <c r="J93" t="s">
        <v>8</v>
      </c>
      <c r="K93" s="5" t="s">
        <v>114</v>
      </c>
      <c r="L93" s="5" t="s">
        <v>11</v>
      </c>
      <c r="M93" s="5" t="s">
        <v>57</v>
      </c>
      <c r="N93" s="5" t="s">
        <v>58</v>
      </c>
      <c r="O93" s="5" t="s">
        <v>42</v>
      </c>
      <c r="P93" s="5" t="s">
        <v>15</v>
      </c>
      <c r="Q93" s="5" t="s">
        <v>17</v>
      </c>
      <c r="R93" s="5" t="s">
        <v>43</v>
      </c>
      <c r="S93" s="5" t="s">
        <v>21</v>
      </c>
      <c r="T93" s="6" t="s">
        <v>23</v>
      </c>
      <c r="U93" s="6">
        <v>1</v>
      </c>
      <c r="V93" s="6" t="s">
        <v>26</v>
      </c>
      <c r="W93" s="6">
        <v>1</v>
      </c>
      <c r="X93" s="6" t="s">
        <v>46</v>
      </c>
      <c r="Y93">
        <v>2</v>
      </c>
      <c r="Z93" s="5" t="s">
        <v>46</v>
      </c>
      <c r="AA93" s="5" t="s">
        <v>44</v>
      </c>
      <c r="AB93" s="5" t="s">
        <v>46</v>
      </c>
    </row>
    <row r="94" spans="1:28" x14ac:dyDescent="0.35">
      <c r="A94" s="8" t="s">
        <v>1200</v>
      </c>
      <c r="B94" s="5" t="s">
        <v>169</v>
      </c>
      <c r="C94">
        <v>1970</v>
      </c>
      <c r="D94">
        <f t="shared" ca="1" si="0"/>
        <v>55</v>
      </c>
      <c r="E94" s="5" t="s">
        <v>28</v>
      </c>
      <c r="F94" t="s">
        <v>137</v>
      </c>
      <c r="G94" t="str">
        <f t="shared" si="2"/>
        <v>500.000–1.000.000</v>
      </c>
      <c r="H94" t="s">
        <v>30</v>
      </c>
      <c r="I94">
        <v>3</v>
      </c>
      <c r="J94" t="s">
        <v>8</v>
      </c>
      <c r="K94" s="5" t="s">
        <v>114</v>
      </c>
      <c r="L94" s="5" t="s">
        <v>11</v>
      </c>
      <c r="M94" s="5" t="s">
        <v>57</v>
      </c>
      <c r="N94" s="5" t="s">
        <v>58</v>
      </c>
      <c r="O94" s="5" t="s">
        <v>42</v>
      </c>
      <c r="P94" s="5" t="s">
        <v>15</v>
      </c>
      <c r="Q94" s="5" t="s">
        <v>17</v>
      </c>
      <c r="R94" s="5" t="s">
        <v>43</v>
      </c>
      <c r="S94" s="5" t="s">
        <v>21</v>
      </c>
      <c r="T94" s="6" t="s">
        <v>23</v>
      </c>
      <c r="U94" s="6">
        <v>1</v>
      </c>
      <c r="V94" s="6" t="s">
        <v>26</v>
      </c>
      <c r="W94" s="6">
        <v>1</v>
      </c>
      <c r="X94" s="6" t="s">
        <v>46</v>
      </c>
      <c r="Y94">
        <v>2</v>
      </c>
      <c r="Z94" s="5" t="s">
        <v>46</v>
      </c>
      <c r="AA94" s="5" t="s">
        <v>44</v>
      </c>
      <c r="AB94" s="5" t="s">
        <v>46</v>
      </c>
    </row>
    <row r="95" spans="1:28" x14ac:dyDescent="0.35">
      <c r="A95" s="8" t="s">
        <v>1201</v>
      </c>
      <c r="B95" s="5" t="s">
        <v>170</v>
      </c>
      <c r="C95">
        <v>1989</v>
      </c>
      <c r="D95">
        <f t="shared" ca="1" si="0"/>
        <v>36</v>
      </c>
      <c r="E95" s="5" t="s">
        <v>6</v>
      </c>
      <c r="F95" t="s">
        <v>137</v>
      </c>
      <c r="G95" t="str">
        <f t="shared" si="2"/>
        <v>500.000–1.000.000</v>
      </c>
      <c r="H95" t="s">
        <v>7</v>
      </c>
      <c r="I95">
        <v>2</v>
      </c>
      <c r="J95" t="s">
        <v>72</v>
      </c>
      <c r="K95" s="5" t="s">
        <v>114</v>
      </c>
      <c r="L95" s="5" t="s">
        <v>11</v>
      </c>
      <c r="M95" s="5" t="s">
        <v>57</v>
      </c>
      <c r="N95" s="5" t="s">
        <v>58</v>
      </c>
      <c r="O95" s="5" t="s">
        <v>42</v>
      </c>
      <c r="P95" s="5" t="s">
        <v>15</v>
      </c>
      <c r="Q95" s="5" t="s">
        <v>17</v>
      </c>
      <c r="R95" s="5" t="s">
        <v>43</v>
      </c>
      <c r="S95" s="5" t="s">
        <v>21</v>
      </c>
      <c r="T95" s="6" t="s">
        <v>84</v>
      </c>
      <c r="U95" s="6">
        <v>1</v>
      </c>
      <c r="V95" s="6" t="s">
        <v>26</v>
      </c>
      <c r="W95" s="6">
        <v>1</v>
      </c>
      <c r="X95" s="6" t="s">
        <v>46</v>
      </c>
      <c r="Y95">
        <v>1</v>
      </c>
      <c r="Z95" s="5" t="s">
        <v>44</v>
      </c>
      <c r="AA95" s="5" t="s">
        <v>46</v>
      </c>
      <c r="AB95" s="5" t="s">
        <v>46</v>
      </c>
    </row>
    <row r="96" spans="1:28" x14ac:dyDescent="0.35">
      <c r="A96" s="8" t="s">
        <v>1202</v>
      </c>
      <c r="B96" s="5" t="s">
        <v>171</v>
      </c>
      <c r="C96">
        <v>1995</v>
      </c>
      <c r="D96">
        <f t="shared" ca="1" si="0"/>
        <v>30</v>
      </c>
      <c r="E96" s="5" t="s">
        <v>28</v>
      </c>
      <c r="F96" t="s">
        <v>29</v>
      </c>
      <c r="G96" t="str">
        <f t="shared" si="2"/>
        <v>500.000–1.000.000</v>
      </c>
      <c r="H96" t="s">
        <v>139</v>
      </c>
      <c r="I96">
        <v>2</v>
      </c>
      <c r="J96" t="s">
        <v>72</v>
      </c>
      <c r="K96" s="5" t="s">
        <v>114</v>
      </c>
      <c r="L96" s="5" t="s">
        <v>11</v>
      </c>
      <c r="M96" s="5" t="s">
        <v>57</v>
      </c>
      <c r="N96" s="5" t="s">
        <v>58</v>
      </c>
      <c r="O96" s="5" t="s">
        <v>42</v>
      </c>
      <c r="P96" s="5" t="s">
        <v>15</v>
      </c>
      <c r="Q96" s="5" t="s">
        <v>17</v>
      </c>
      <c r="R96" s="5" t="s">
        <v>43</v>
      </c>
      <c r="S96" s="5" t="s">
        <v>21</v>
      </c>
      <c r="T96" s="6" t="s">
        <v>84</v>
      </c>
      <c r="U96" s="6">
        <v>1</v>
      </c>
      <c r="V96" s="6" t="s">
        <v>26</v>
      </c>
      <c r="W96" s="6">
        <v>1</v>
      </c>
      <c r="X96" s="6" t="s">
        <v>46</v>
      </c>
      <c r="Y96">
        <v>1</v>
      </c>
      <c r="Z96" s="5" t="s">
        <v>44</v>
      </c>
      <c r="AA96" s="5" t="s">
        <v>46</v>
      </c>
      <c r="AB96" s="5" t="s">
        <v>46</v>
      </c>
    </row>
    <row r="97" spans="1:28" x14ac:dyDescent="0.35">
      <c r="A97" s="8" t="s">
        <v>1203</v>
      </c>
      <c r="B97" s="5" t="s">
        <v>172</v>
      </c>
      <c r="C97">
        <v>1987</v>
      </c>
      <c r="D97">
        <f t="shared" ca="1" si="0"/>
        <v>38</v>
      </c>
      <c r="E97" s="5" t="s">
        <v>6</v>
      </c>
      <c r="F97" t="s">
        <v>29</v>
      </c>
      <c r="G97" t="str">
        <f t="shared" si="2"/>
        <v>&lt;500.000</v>
      </c>
      <c r="H97" t="s">
        <v>63</v>
      </c>
      <c r="I97">
        <v>4</v>
      </c>
      <c r="J97" t="s">
        <v>48</v>
      </c>
      <c r="K97" s="5" t="s">
        <v>114</v>
      </c>
      <c r="L97" s="5" t="s">
        <v>11</v>
      </c>
      <c r="M97" s="5" t="s">
        <v>57</v>
      </c>
      <c r="N97" s="5" t="s">
        <v>58</v>
      </c>
      <c r="O97" s="5" t="s">
        <v>89</v>
      </c>
      <c r="P97" s="5" t="s">
        <v>15</v>
      </c>
      <c r="Q97" s="5" t="s">
        <v>17</v>
      </c>
      <c r="R97" s="5" t="s">
        <v>43</v>
      </c>
      <c r="S97" s="5" t="s">
        <v>21</v>
      </c>
      <c r="T97" s="6" t="s">
        <v>73</v>
      </c>
      <c r="U97">
        <v>0</v>
      </c>
      <c r="V97" s="6" t="s">
        <v>73</v>
      </c>
      <c r="W97">
        <v>0</v>
      </c>
      <c r="X97" s="6" t="s">
        <v>46</v>
      </c>
      <c r="Y97">
        <v>4</v>
      </c>
      <c r="Z97" s="5" t="s">
        <v>46</v>
      </c>
      <c r="AA97" s="5" t="s">
        <v>46</v>
      </c>
      <c r="AB97" s="5" t="s">
        <v>46</v>
      </c>
    </row>
    <row r="98" spans="1:28" x14ac:dyDescent="0.35">
      <c r="A98" s="8" t="s">
        <v>1204</v>
      </c>
      <c r="B98" s="5" t="s">
        <v>173</v>
      </c>
      <c r="C98">
        <v>1967</v>
      </c>
      <c r="D98">
        <f t="shared" ca="1" si="0"/>
        <v>58</v>
      </c>
      <c r="E98" s="5" t="s">
        <v>6</v>
      </c>
      <c r="F98" t="s">
        <v>29</v>
      </c>
      <c r="G98" t="str">
        <f t="shared" si="2"/>
        <v>500.000–1.000.000</v>
      </c>
      <c r="H98" t="s">
        <v>7</v>
      </c>
      <c r="I98">
        <v>3</v>
      </c>
      <c r="J98" t="s">
        <v>8</v>
      </c>
      <c r="K98" s="5" t="s">
        <v>114</v>
      </c>
      <c r="L98" s="5" t="s">
        <v>49</v>
      </c>
      <c r="M98" s="5" t="s">
        <v>57</v>
      </c>
      <c r="N98" s="5" t="s">
        <v>58</v>
      </c>
      <c r="O98" s="5" t="s">
        <v>42</v>
      </c>
      <c r="P98" s="5" t="s">
        <v>15</v>
      </c>
      <c r="Q98" s="5" t="s">
        <v>17</v>
      </c>
      <c r="R98" s="5" t="s">
        <v>43</v>
      </c>
      <c r="S98" s="5" t="s">
        <v>21</v>
      </c>
      <c r="T98" s="6" t="s">
        <v>73</v>
      </c>
      <c r="U98">
        <v>0</v>
      </c>
      <c r="V98" s="6" t="s">
        <v>26</v>
      </c>
      <c r="W98" s="6">
        <v>1</v>
      </c>
      <c r="X98" s="6" t="s">
        <v>46</v>
      </c>
      <c r="Y98">
        <v>2</v>
      </c>
      <c r="Z98" s="5" t="s">
        <v>46</v>
      </c>
      <c r="AA98" s="5" t="s">
        <v>46</v>
      </c>
      <c r="AB98" s="5" t="s">
        <v>35</v>
      </c>
    </row>
    <row r="99" spans="1:28" x14ac:dyDescent="0.35">
      <c r="A99" s="8" t="s">
        <v>1205</v>
      </c>
      <c r="B99" s="5" t="s">
        <v>174</v>
      </c>
      <c r="C99">
        <v>1949</v>
      </c>
      <c r="D99">
        <f t="shared" ca="1" si="0"/>
        <v>76</v>
      </c>
      <c r="E99" s="5" t="s">
        <v>6</v>
      </c>
      <c r="F99" t="s">
        <v>29</v>
      </c>
      <c r="G99" t="str">
        <f t="shared" si="2"/>
        <v>&lt;500.000</v>
      </c>
      <c r="H99" t="s">
        <v>63</v>
      </c>
      <c r="I99">
        <v>0</v>
      </c>
      <c r="J99" t="s">
        <v>8</v>
      </c>
      <c r="K99" s="5" t="s">
        <v>38</v>
      </c>
      <c r="L99" s="5" t="s">
        <v>49</v>
      </c>
      <c r="M99" s="5" t="s">
        <v>57</v>
      </c>
      <c r="N99" s="5" t="s">
        <v>58</v>
      </c>
      <c r="O99" s="5" t="s">
        <v>89</v>
      </c>
      <c r="P99" s="5" t="s">
        <v>15</v>
      </c>
      <c r="Q99" s="5" t="s">
        <v>17</v>
      </c>
      <c r="R99" s="5" t="s">
        <v>43</v>
      </c>
      <c r="S99" s="5" t="s">
        <v>21</v>
      </c>
      <c r="T99" s="6" t="s">
        <v>73</v>
      </c>
      <c r="U99">
        <v>0</v>
      </c>
      <c r="V99" s="6" t="s">
        <v>73</v>
      </c>
      <c r="W99">
        <v>0</v>
      </c>
      <c r="X99" s="6" t="s">
        <v>46</v>
      </c>
      <c r="Y99">
        <v>0</v>
      </c>
      <c r="Z99" s="5" t="s">
        <v>46</v>
      </c>
      <c r="AA99" s="5" t="s">
        <v>44</v>
      </c>
      <c r="AB99" s="5" t="s">
        <v>46</v>
      </c>
    </row>
    <row r="100" spans="1:28" x14ac:dyDescent="0.35">
      <c r="A100" s="8" t="s">
        <v>1206</v>
      </c>
      <c r="B100" s="5" t="s">
        <v>175</v>
      </c>
      <c r="C100">
        <v>1981</v>
      </c>
      <c r="D100">
        <f t="shared" ca="1" si="0"/>
        <v>44</v>
      </c>
      <c r="E100" s="5" t="s">
        <v>6</v>
      </c>
      <c r="F100" t="s">
        <v>54</v>
      </c>
      <c r="G100" t="str">
        <f t="shared" si="2"/>
        <v>1.000.000–2.000.000</v>
      </c>
      <c r="H100" t="s">
        <v>139</v>
      </c>
      <c r="I100">
        <v>3</v>
      </c>
      <c r="J100" t="s">
        <v>48</v>
      </c>
      <c r="K100" s="5" t="s">
        <v>38</v>
      </c>
      <c r="L100" s="5" t="s">
        <v>11</v>
      </c>
      <c r="M100" s="5" t="s">
        <v>57</v>
      </c>
      <c r="N100" s="5" t="s">
        <v>58</v>
      </c>
      <c r="O100" s="5" t="s">
        <v>42</v>
      </c>
      <c r="P100" s="5" t="s">
        <v>15</v>
      </c>
      <c r="Q100" s="5" t="s">
        <v>17</v>
      </c>
      <c r="R100" s="5" t="s">
        <v>43</v>
      </c>
      <c r="S100" s="5" t="s">
        <v>21</v>
      </c>
      <c r="T100" s="6" t="s">
        <v>84</v>
      </c>
      <c r="U100" s="6">
        <v>1</v>
      </c>
      <c r="V100" s="6" t="s">
        <v>117</v>
      </c>
      <c r="W100">
        <v>1</v>
      </c>
      <c r="X100" s="6" t="s">
        <v>46</v>
      </c>
      <c r="Y100">
        <v>3</v>
      </c>
      <c r="Z100" s="5" t="s">
        <v>46</v>
      </c>
      <c r="AA100" s="5" t="s">
        <v>46</v>
      </c>
      <c r="AB100" s="5" t="s">
        <v>46</v>
      </c>
    </row>
    <row r="101" spans="1:28" x14ac:dyDescent="0.35">
      <c r="A101" s="8" t="s">
        <v>1207</v>
      </c>
      <c r="B101" s="5" t="s">
        <v>176</v>
      </c>
      <c r="C101">
        <v>1981</v>
      </c>
      <c r="D101">
        <f t="shared" ca="1" si="0"/>
        <v>44</v>
      </c>
      <c r="E101" s="5" t="s">
        <v>28</v>
      </c>
      <c r="F101" t="s">
        <v>29</v>
      </c>
      <c r="G101" t="str">
        <f t="shared" si="2"/>
        <v>500.000–1.000.000</v>
      </c>
      <c r="H101" t="s">
        <v>139</v>
      </c>
      <c r="I101">
        <v>3</v>
      </c>
      <c r="J101" t="s">
        <v>48</v>
      </c>
      <c r="K101" s="5" t="s">
        <v>38</v>
      </c>
      <c r="L101" s="5" t="s">
        <v>11</v>
      </c>
      <c r="M101" s="5" t="s">
        <v>57</v>
      </c>
      <c r="N101" s="5" t="s">
        <v>58</v>
      </c>
      <c r="O101" s="5" t="s">
        <v>42</v>
      </c>
      <c r="P101" s="5" t="s">
        <v>15</v>
      </c>
      <c r="Q101" s="5" t="s">
        <v>17</v>
      </c>
      <c r="R101" s="5" t="s">
        <v>43</v>
      </c>
      <c r="S101" s="5" t="s">
        <v>21</v>
      </c>
      <c r="T101" s="6" t="s">
        <v>84</v>
      </c>
      <c r="U101" s="6">
        <v>1</v>
      </c>
      <c r="V101" s="6" t="s">
        <v>117</v>
      </c>
      <c r="W101">
        <v>1</v>
      </c>
      <c r="X101" s="6" t="s">
        <v>46</v>
      </c>
      <c r="Y101">
        <v>3</v>
      </c>
      <c r="Z101" s="5" t="s">
        <v>46</v>
      </c>
      <c r="AA101" s="5" t="s">
        <v>46</v>
      </c>
      <c r="AB101" s="5" t="s">
        <v>46</v>
      </c>
    </row>
    <row r="102" spans="1:28" x14ac:dyDescent="0.35">
      <c r="A102" s="8" t="s">
        <v>1208</v>
      </c>
      <c r="B102" s="5" t="s">
        <v>177</v>
      </c>
      <c r="C102">
        <v>1962</v>
      </c>
      <c r="D102">
        <f t="shared" ca="1" si="0"/>
        <v>63</v>
      </c>
      <c r="E102" s="5" t="s">
        <v>6</v>
      </c>
      <c r="F102" t="s">
        <v>29</v>
      </c>
      <c r="G102" t="str">
        <f t="shared" si="2"/>
        <v>&lt;500.000</v>
      </c>
      <c r="H102" t="s">
        <v>63</v>
      </c>
      <c r="I102">
        <v>0</v>
      </c>
      <c r="J102" t="s">
        <v>72</v>
      </c>
      <c r="K102" s="5" t="s">
        <v>38</v>
      </c>
      <c r="L102" s="5" t="s">
        <v>11</v>
      </c>
      <c r="M102" s="5" t="s">
        <v>57</v>
      </c>
      <c r="N102" s="5" t="s">
        <v>58</v>
      </c>
      <c r="O102" s="5" t="s">
        <v>89</v>
      </c>
      <c r="P102" s="5" t="s">
        <v>15</v>
      </c>
      <c r="Q102" s="5" t="s">
        <v>17</v>
      </c>
      <c r="R102" s="5" t="s">
        <v>43</v>
      </c>
      <c r="S102" s="5" t="s">
        <v>21</v>
      </c>
      <c r="T102" s="6" t="s">
        <v>73</v>
      </c>
      <c r="U102" s="6">
        <v>0</v>
      </c>
      <c r="V102" s="6" t="s">
        <v>73</v>
      </c>
      <c r="W102">
        <v>0</v>
      </c>
      <c r="X102" s="6" t="s">
        <v>46</v>
      </c>
      <c r="Y102">
        <v>0</v>
      </c>
      <c r="Z102" s="5" t="s">
        <v>46</v>
      </c>
      <c r="AA102" s="5" t="s">
        <v>44</v>
      </c>
      <c r="AB102" s="5" t="s">
        <v>74</v>
      </c>
    </row>
    <row r="103" spans="1:28" x14ac:dyDescent="0.35">
      <c r="A103" s="8" t="s">
        <v>1209</v>
      </c>
      <c r="B103" s="5" t="s">
        <v>178</v>
      </c>
      <c r="C103">
        <v>1973</v>
      </c>
      <c r="D103">
        <f t="shared" ca="1" si="0"/>
        <v>52</v>
      </c>
      <c r="E103" s="5" t="s">
        <v>6</v>
      </c>
      <c r="F103" t="s">
        <v>29</v>
      </c>
      <c r="G103" t="str">
        <f t="shared" si="2"/>
        <v>&lt;500.000</v>
      </c>
      <c r="H103" t="s">
        <v>63</v>
      </c>
      <c r="I103">
        <v>3</v>
      </c>
      <c r="J103" t="s">
        <v>72</v>
      </c>
      <c r="K103" s="5" t="s">
        <v>38</v>
      </c>
      <c r="L103" s="5" t="s">
        <v>49</v>
      </c>
      <c r="M103" s="5" t="s">
        <v>57</v>
      </c>
      <c r="N103" s="5" t="s">
        <v>58</v>
      </c>
      <c r="O103" s="5" t="s">
        <v>89</v>
      </c>
      <c r="P103" s="5" t="s">
        <v>15</v>
      </c>
      <c r="Q103" s="5" t="s">
        <v>17</v>
      </c>
      <c r="R103" s="5" t="s">
        <v>19</v>
      </c>
      <c r="S103" s="5" t="s">
        <v>21</v>
      </c>
      <c r="T103" s="6" t="s">
        <v>73</v>
      </c>
      <c r="U103" s="6">
        <v>0</v>
      </c>
      <c r="V103" s="6" t="s">
        <v>73</v>
      </c>
      <c r="W103">
        <v>0</v>
      </c>
      <c r="X103" s="6" t="s">
        <v>46</v>
      </c>
      <c r="Y103">
        <v>1</v>
      </c>
      <c r="Z103" s="5" t="s">
        <v>46</v>
      </c>
      <c r="AA103" s="5" t="s">
        <v>46</v>
      </c>
      <c r="AB103" s="5" t="s">
        <v>46</v>
      </c>
    </row>
    <row r="104" spans="1:28" x14ac:dyDescent="0.35">
      <c r="A104" s="8" t="s">
        <v>1210</v>
      </c>
      <c r="B104" s="5" t="s">
        <v>179</v>
      </c>
      <c r="C104">
        <v>1978</v>
      </c>
      <c r="D104">
        <f t="shared" ca="1" si="0"/>
        <v>47</v>
      </c>
      <c r="E104" s="5" t="s">
        <v>28</v>
      </c>
      <c r="F104" t="s">
        <v>29</v>
      </c>
      <c r="G104" t="str">
        <f t="shared" si="2"/>
        <v>&lt;500.000</v>
      </c>
      <c r="H104" t="s">
        <v>63</v>
      </c>
      <c r="I104">
        <v>3</v>
      </c>
      <c r="J104" t="s">
        <v>72</v>
      </c>
      <c r="K104" s="5" t="s">
        <v>38</v>
      </c>
      <c r="L104" s="5" t="s">
        <v>49</v>
      </c>
      <c r="M104" s="5" t="s">
        <v>57</v>
      </c>
      <c r="N104" s="5" t="s">
        <v>58</v>
      </c>
      <c r="O104" s="5" t="s">
        <v>89</v>
      </c>
      <c r="P104" s="5" t="s">
        <v>15</v>
      </c>
      <c r="Q104" s="5" t="s">
        <v>17</v>
      </c>
      <c r="R104" s="5" t="s">
        <v>19</v>
      </c>
      <c r="S104" s="5" t="s">
        <v>21</v>
      </c>
      <c r="T104" s="6" t="s">
        <v>73</v>
      </c>
      <c r="U104" s="6">
        <v>0</v>
      </c>
      <c r="V104" s="6" t="s">
        <v>73</v>
      </c>
      <c r="W104">
        <v>0</v>
      </c>
      <c r="X104" s="6" t="s">
        <v>46</v>
      </c>
      <c r="Y104">
        <v>1</v>
      </c>
      <c r="Z104" s="5" t="s">
        <v>46</v>
      </c>
      <c r="AA104" s="5" t="s">
        <v>46</v>
      </c>
      <c r="AB104" s="5" t="s">
        <v>46</v>
      </c>
    </row>
    <row r="105" spans="1:28" x14ac:dyDescent="0.35">
      <c r="A105" s="8" t="s">
        <v>1211</v>
      </c>
      <c r="B105" s="5" t="s">
        <v>180</v>
      </c>
      <c r="C105">
        <v>1979</v>
      </c>
      <c r="D105">
        <f t="shared" ca="1" si="0"/>
        <v>46</v>
      </c>
      <c r="E105" s="5" t="s">
        <v>6</v>
      </c>
      <c r="F105" t="s">
        <v>29</v>
      </c>
      <c r="G105" t="str">
        <f t="shared" si="2"/>
        <v>&lt;500.000</v>
      </c>
      <c r="H105" t="s">
        <v>63</v>
      </c>
      <c r="I105">
        <v>3</v>
      </c>
      <c r="J105" t="s">
        <v>8</v>
      </c>
      <c r="K105" s="5" t="s">
        <v>114</v>
      </c>
      <c r="L105" s="5" t="s">
        <v>11</v>
      </c>
      <c r="M105" s="5" t="s">
        <v>57</v>
      </c>
      <c r="N105" s="5" t="s">
        <v>58</v>
      </c>
      <c r="O105" s="5" t="s">
        <v>42</v>
      </c>
      <c r="P105" s="5" t="s">
        <v>15</v>
      </c>
      <c r="Q105" s="5" t="s">
        <v>17</v>
      </c>
      <c r="R105" s="5" t="s">
        <v>43</v>
      </c>
      <c r="S105" s="5" t="s">
        <v>21</v>
      </c>
      <c r="T105" s="6" t="s">
        <v>23</v>
      </c>
      <c r="U105" s="6">
        <v>1</v>
      </c>
      <c r="V105" s="6" t="s">
        <v>181</v>
      </c>
      <c r="W105" s="6">
        <v>1</v>
      </c>
      <c r="X105" s="6" t="s">
        <v>46</v>
      </c>
      <c r="Y105">
        <v>2</v>
      </c>
      <c r="Z105" s="5" t="s">
        <v>46</v>
      </c>
      <c r="AA105" s="5" t="s">
        <v>46</v>
      </c>
      <c r="AB105" s="5" t="s">
        <v>46</v>
      </c>
    </row>
    <row r="106" spans="1:28" x14ac:dyDescent="0.35">
      <c r="A106" s="8" t="s">
        <v>1212</v>
      </c>
      <c r="B106" s="5" t="s">
        <v>182</v>
      </c>
      <c r="C106">
        <v>1984</v>
      </c>
      <c r="D106">
        <f t="shared" ca="1" si="0"/>
        <v>41</v>
      </c>
      <c r="E106" s="5" t="s">
        <v>28</v>
      </c>
      <c r="F106" t="s">
        <v>119</v>
      </c>
      <c r="G106" t="str">
        <f t="shared" si="2"/>
        <v>500.000–1.000.000</v>
      </c>
      <c r="H106" t="s">
        <v>7</v>
      </c>
      <c r="I106">
        <v>3</v>
      </c>
      <c r="J106" t="s">
        <v>8</v>
      </c>
      <c r="K106" s="5" t="s">
        <v>114</v>
      </c>
      <c r="L106" s="5" t="s">
        <v>11</v>
      </c>
      <c r="M106" s="5" t="s">
        <v>57</v>
      </c>
      <c r="N106" s="5" t="s">
        <v>58</v>
      </c>
      <c r="O106" s="5" t="s">
        <v>42</v>
      </c>
      <c r="P106" s="5" t="s">
        <v>15</v>
      </c>
      <c r="Q106" s="5" t="s">
        <v>17</v>
      </c>
      <c r="R106" s="5" t="s">
        <v>43</v>
      </c>
      <c r="S106" s="5" t="s">
        <v>21</v>
      </c>
      <c r="T106" s="6" t="s">
        <v>23</v>
      </c>
      <c r="U106" s="6">
        <v>1</v>
      </c>
      <c r="V106" s="6" t="s">
        <v>181</v>
      </c>
      <c r="W106" s="6">
        <v>1</v>
      </c>
      <c r="X106" s="6" t="s">
        <v>46</v>
      </c>
      <c r="Y106">
        <v>2</v>
      </c>
      <c r="Z106" s="5" t="s">
        <v>46</v>
      </c>
      <c r="AA106" s="5" t="s">
        <v>46</v>
      </c>
      <c r="AB106" s="5" t="s">
        <v>46</v>
      </c>
    </row>
    <row r="107" spans="1:28" x14ac:dyDescent="0.35">
      <c r="A107" s="8" t="s">
        <v>1213</v>
      </c>
      <c r="B107" s="5" t="s">
        <v>183</v>
      </c>
      <c r="C107">
        <v>1958</v>
      </c>
      <c r="D107">
        <f t="shared" ca="1" si="0"/>
        <v>67</v>
      </c>
      <c r="E107" s="5" t="s">
        <v>6</v>
      </c>
      <c r="F107" t="s">
        <v>29</v>
      </c>
      <c r="G107" t="str">
        <f t="shared" si="2"/>
        <v>&lt;500.000</v>
      </c>
      <c r="H107" t="s">
        <v>30</v>
      </c>
      <c r="I107">
        <v>0</v>
      </c>
      <c r="J107" t="s">
        <v>48</v>
      </c>
      <c r="K107" s="5" t="s">
        <v>38</v>
      </c>
      <c r="L107" s="5" t="s">
        <v>11</v>
      </c>
      <c r="M107" s="5" t="s">
        <v>57</v>
      </c>
      <c r="N107" s="5" t="s">
        <v>58</v>
      </c>
      <c r="O107" s="5" t="s">
        <v>42</v>
      </c>
      <c r="P107" s="5" t="s">
        <v>15</v>
      </c>
      <c r="Q107" s="5" t="s">
        <v>17</v>
      </c>
      <c r="R107" s="5" t="s">
        <v>43</v>
      </c>
      <c r="S107" s="5" t="s">
        <v>21</v>
      </c>
      <c r="T107" s="6" t="s">
        <v>73</v>
      </c>
      <c r="U107" s="6">
        <v>0</v>
      </c>
      <c r="V107" s="6" t="s">
        <v>117</v>
      </c>
      <c r="W107" s="6">
        <v>1</v>
      </c>
      <c r="X107" s="6" t="s">
        <v>46</v>
      </c>
      <c r="Y107">
        <v>0</v>
      </c>
      <c r="Z107" s="5" t="s">
        <v>46</v>
      </c>
      <c r="AA107" s="5" t="s">
        <v>44</v>
      </c>
      <c r="AB107" s="5" t="s">
        <v>46</v>
      </c>
    </row>
    <row r="108" spans="1:28" x14ac:dyDescent="0.35">
      <c r="A108" s="8" t="s">
        <v>1214</v>
      </c>
      <c r="B108" s="5" t="s">
        <v>184</v>
      </c>
      <c r="C108">
        <v>1990</v>
      </c>
      <c r="D108">
        <f t="shared" ca="1" si="0"/>
        <v>35</v>
      </c>
      <c r="E108" s="5" t="s">
        <v>6</v>
      </c>
      <c r="F108" t="s">
        <v>29</v>
      </c>
      <c r="G108" t="str">
        <f t="shared" si="2"/>
        <v>&lt;500.000</v>
      </c>
      <c r="H108" t="s">
        <v>63</v>
      </c>
      <c r="I108">
        <v>3</v>
      </c>
      <c r="J108" t="s">
        <v>8</v>
      </c>
      <c r="K108" s="5" t="s">
        <v>114</v>
      </c>
      <c r="L108" s="5" t="s">
        <v>11</v>
      </c>
      <c r="M108" s="5" t="s">
        <v>57</v>
      </c>
      <c r="N108" s="5" t="s">
        <v>58</v>
      </c>
      <c r="O108" s="5" t="s">
        <v>89</v>
      </c>
      <c r="P108" s="5" t="s">
        <v>15</v>
      </c>
      <c r="Q108" s="5" t="s">
        <v>17</v>
      </c>
      <c r="R108" s="5" t="s">
        <v>43</v>
      </c>
      <c r="S108" s="5" t="s">
        <v>21</v>
      </c>
      <c r="T108" s="6" t="s">
        <v>73</v>
      </c>
      <c r="U108" s="6">
        <v>0</v>
      </c>
      <c r="V108" s="6" t="s">
        <v>73</v>
      </c>
      <c r="W108" s="6">
        <v>0</v>
      </c>
      <c r="X108" s="6" t="s">
        <v>46</v>
      </c>
      <c r="Y108">
        <v>3</v>
      </c>
      <c r="Z108" s="5" t="s">
        <v>46</v>
      </c>
      <c r="AA108" s="5" t="s">
        <v>46</v>
      </c>
      <c r="AB108" s="5" t="s">
        <v>46</v>
      </c>
    </row>
    <row r="109" spans="1:28" x14ac:dyDescent="0.35">
      <c r="A109" s="8" t="s">
        <v>1215</v>
      </c>
      <c r="B109" s="5" t="s">
        <v>185</v>
      </c>
      <c r="C109">
        <v>1983</v>
      </c>
      <c r="D109">
        <f t="shared" ca="1" si="0"/>
        <v>42</v>
      </c>
      <c r="E109" s="5" t="s">
        <v>28</v>
      </c>
      <c r="F109" t="s">
        <v>29</v>
      </c>
      <c r="G109" t="str">
        <f t="shared" si="2"/>
        <v>&lt;500.000</v>
      </c>
      <c r="H109" t="s">
        <v>63</v>
      </c>
      <c r="I109">
        <v>3</v>
      </c>
      <c r="J109" t="s">
        <v>8</v>
      </c>
      <c r="K109" s="5" t="s">
        <v>114</v>
      </c>
      <c r="L109" s="5" t="s">
        <v>11</v>
      </c>
      <c r="M109" s="5" t="s">
        <v>57</v>
      </c>
      <c r="N109" s="5" t="s">
        <v>58</v>
      </c>
      <c r="O109" s="5" t="s">
        <v>89</v>
      </c>
      <c r="P109" s="5" t="s">
        <v>15</v>
      </c>
      <c r="Q109" s="5" t="s">
        <v>17</v>
      </c>
      <c r="R109" s="5" t="s">
        <v>43</v>
      </c>
      <c r="S109" s="5" t="s">
        <v>21</v>
      </c>
      <c r="T109" s="6" t="s">
        <v>73</v>
      </c>
      <c r="U109" s="6">
        <v>0</v>
      </c>
      <c r="V109" s="6" t="s">
        <v>73</v>
      </c>
      <c r="W109" s="6">
        <v>0</v>
      </c>
      <c r="X109" s="6" t="s">
        <v>46</v>
      </c>
      <c r="Y109">
        <v>3</v>
      </c>
      <c r="Z109" s="5" t="s">
        <v>46</v>
      </c>
      <c r="AA109" s="5" t="s">
        <v>46</v>
      </c>
      <c r="AB109" s="5" t="s">
        <v>46</v>
      </c>
    </row>
    <row r="110" spans="1:28" x14ac:dyDescent="0.35">
      <c r="A110" s="8" t="s">
        <v>1216</v>
      </c>
      <c r="B110" s="5" t="s">
        <v>186</v>
      </c>
      <c r="C110">
        <v>1951</v>
      </c>
      <c r="D110">
        <f t="shared" ca="1" si="0"/>
        <v>74</v>
      </c>
      <c r="E110" s="5" t="s">
        <v>6</v>
      </c>
      <c r="F110" t="s">
        <v>187</v>
      </c>
      <c r="G110" t="str">
        <f t="shared" si="2"/>
        <v>2.000.000–3.000.000</v>
      </c>
      <c r="H110" t="s">
        <v>7</v>
      </c>
      <c r="I110">
        <v>1</v>
      </c>
      <c r="J110" t="s">
        <v>8</v>
      </c>
      <c r="K110" s="5" t="s">
        <v>38</v>
      </c>
      <c r="L110" s="5" t="s">
        <v>11</v>
      </c>
      <c r="M110" s="5" t="s">
        <v>57</v>
      </c>
      <c r="N110" s="5" t="s">
        <v>58</v>
      </c>
      <c r="O110" s="5" t="s">
        <v>42</v>
      </c>
      <c r="P110" s="5" t="s">
        <v>15</v>
      </c>
      <c r="Q110" s="5" t="s">
        <v>17</v>
      </c>
      <c r="R110" s="5" t="s">
        <v>43</v>
      </c>
      <c r="S110" s="5" t="s">
        <v>21</v>
      </c>
      <c r="T110" s="6" t="s">
        <v>92</v>
      </c>
      <c r="U110" s="6">
        <v>1</v>
      </c>
      <c r="V110" s="6" t="s">
        <v>117</v>
      </c>
      <c r="W110" s="6">
        <v>1</v>
      </c>
      <c r="X110" s="6" t="s">
        <v>46</v>
      </c>
      <c r="Y110">
        <v>0</v>
      </c>
      <c r="Z110" s="5" t="s">
        <v>46</v>
      </c>
      <c r="AA110" s="5" t="s">
        <v>64</v>
      </c>
      <c r="AB110" s="5" t="s">
        <v>74</v>
      </c>
    </row>
    <row r="111" spans="1:28" x14ac:dyDescent="0.35">
      <c r="A111" s="8" t="s">
        <v>1217</v>
      </c>
      <c r="B111" s="5" t="s">
        <v>188</v>
      </c>
      <c r="C111">
        <v>1959</v>
      </c>
      <c r="D111">
        <f t="shared" ca="1" si="0"/>
        <v>66</v>
      </c>
      <c r="E111" s="5" t="s">
        <v>28</v>
      </c>
      <c r="F111" t="s">
        <v>29</v>
      </c>
      <c r="G111" t="str">
        <f t="shared" si="2"/>
        <v>500.000–1.000.000</v>
      </c>
      <c r="H111" t="s">
        <v>139</v>
      </c>
      <c r="I111">
        <v>1</v>
      </c>
      <c r="J111" t="s">
        <v>8</v>
      </c>
      <c r="K111" s="5" t="s">
        <v>38</v>
      </c>
      <c r="L111" s="5" t="s">
        <v>11</v>
      </c>
      <c r="M111" s="5" t="s">
        <v>57</v>
      </c>
      <c r="N111" s="5" t="s">
        <v>58</v>
      </c>
      <c r="O111" s="5" t="s">
        <v>42</v>
      </c>
      <c r="P111" s="5" t="s">
        <v>15</v>
      </c>
      <c r="Q111" s="5" t="s">
        <v>17</v>
      </c>
      <c r="R111" s="5" t="s">
        <v>43</v>
      </c>
      <c r="S111" s="5" t="s">
        <v>21</v>
      </c>
      <c r="T111" s="6" t="s">
        <v>92</v>
      </c>
      <c r="U111" s="6">
        <v>1</v>
      </c>
      <c r="V111" s="6" t="s">
        <v>117</v>
      </c>
      <c r="W111" s="6">
        <v>1</v>
      </c>
      <c r="X111" s="6" t="s">
        <v>46</v>
      </c>
      <c r="Y111">
        <v>0</v>
      </c>
      <c r="Z111" s="5" t="s">
        <v>46</v>
      </c>
      <c r="AA111" s="5" t="s">
        <v>64</v>
      </c>
      <c r="AB111" s="5" t="s">
        <v>74</v>
      </c>
    </row>
    <row r="112" spans="1:28" x14ac:dyDescent="0.35">
      <c r="A112" s="8" t="s">
        <v>1218</v>
      </c>
      <c r="B112" s="5" t="s">
        <v>189</v>
      </c>
      <c r="C112">
        <v>1964</v>
      </c>
      <c r="D112">
        <f t="shared" ca="1" si="0"/>
        <v>61</v>
      </c>
      <c r="E112" s="5" t="s">
        <v>6</v>
      </c>
      <c r="F112" t="s">
        <v>29</v>
      </c>
      <c r="G112" t="str">
        <f t="shared" si="2"/>
        <v>500.000–1.000.000</v>
      </c>
      <c r="H112" t="s">
        <v>7</v>
      </c>
      <c r="I112">
        <v>1</v>
      </c>
      <c r="J112" t="s">
        <v>72</v>
      </c>
      <c r="K112" s="5" t="s">
        <v>38</v>
      </c>
      <c r="L112" s="5" t="s">
        <v>11</v>
      </c>
      <c r="M112" s="5" t="s">
        <v>40</v>
      </c>
      <c r="N112" s="5" t="s">
        <v>37</v>
      </c>
      <c r="O112" s="5" t="s">
        <v>42</v>
      </c>
      <c r="P112" s="5" t="s">
        <v>15</v>
      </c>
      <c r="Q112" s="5" t="s">
        <v>17</v>
      </c>
      <c r="R112" s="5" t="s">
        <v>43</v>
      </c>
      <c r="S112" s="5" t="s">
        <v>21</v>
      </c>
      <c r="T112" s="6" t="s">
        <v>73</v>
      </c>
      <c r="U112" s="6">
        <v>0</v>
      </c>
      <c r="V112" s="6" t="s">
        <v>73</v>
      </c>
      <c r="W112" s="6">
        <v>0</v>
      </c>
      <c r="X112" s="6" t="s">
        <v>46</v>
      </c>
      <c r="Y112">
        <v>0</v>
      </c>
      <c r="Z112" s="5" t="s">
        <v>46</v>
      </c>
      <c r="AA112" s="5" t="s">
        <v>64</v>
      </c>
      <c r="AB112" s="5" t="s">
        <v>46</v>
      </c>
    </row>
    <row r="113" spans="1:28" x14ac:dyDescent="0.35">
      <c r="A113" s="8" t="s">
        <v>1219</v>
      </c>
      <c r="B113" s="5" t="s">
        <v>190</v>
      </c>
      <c r="C113">
        <v>1977</v>
      </c>
      <c r="D113">
        <f t="shared" ca="1" si="0"/>
        <v>48</v>
      </c>
      <c r="E113" s="5" t="s">
        <v>6</v>
      </c>
      <c r="F113" t="s">
        <v>151</v>
      </c>
      <c r="G113" t="str">
        <f t="shared" si="2"/>
        <v>1.000.000–2.000.000</v>
      </c>
      <c r="H113" t="s">
        <v>139</v>
      </c>
      <c r="I113">
        <v>2</v>
      </c>
      <c r="J113" t="s">
        <v>8</v>
      </c>
      <c r="K113" s="5" t="s">
        <v>114</v>
      </c>
      <c r="L113" s="5" t="s">
        <v>11</v>
      </c>
      <c r="M113" s="5" t="s">
        <v>57</v>
      </c>
      <c r="N113" s="5" t="s">
        <v>58</v>
      </c>
      <c r="O113" s="5" t="s">
        <v>42</v>
      </c>
      <c r="P113" s="5" t="s">
        <v>15</v>
      </c>
      <c r="Q113" s="5" t="s">
        <v>17</v>
      </c>
      <c r="R113" s="5" t="s">
        <v>43</v>
      </c>
      <c r="S113" s="5" t="s">
        <v>21</v>
      </c>
      <c r="T113" s="6" t="s">
        <v>23</v>
      </c>
      <c r="U113" s="6">
        <v>1</v>
      </c>
      <c r="V113" s="6" t="s">
        <v>26</v>
      </c>
      <c r="W113" s="6">
        <v>1</v>
      </c>
      <c r="X113" s="6" t="s">
        <v>60</v>
      </c>
      <c r="Y113">
        <v>1</v>
      </c>
      <c r="Z113" s="5" t="s">
        <v>46</v>
      </c>
      <c r="AA113" s="5" t="s">
        <v>46</v>
      </c>
      <c r="AB113" s="5" t="s">
        <v>46</v>
      </c>
    </row>
    <row r="114" spans="1:28" x14ac:dyDescent="0.35">
      <c r="A114" s="8" t="s">
        <v>1220</v>
      </c>
      <c r="B114" s="5" t="s">
        <v>191</v>
      </c>
      <c r="C114">
        <v>1983</v>
      </c>
      <c r="D114">
        <f t="shared" ca="1" si="0"/>
        <v>42</v>
      </c>
      <c r="E114" s="5" t="s">
        <v>28</v>
      </c>
      <c r="F114" t="s">
        <v>29</v>
      </c>
      <c r="G114" t="str">
        <f t="shared" si="2"/>
        <v>500.000–1.000.000</v>
      </c>
      <c r="H114" t="s">
        <v>139</v>
      </c>
      <c r="I114">
        <v>2</v>
      </c>
      <c r="J114" t="s">
        <v>8</v>
      </c>
      <c r="K114" s="5" t="s">
        <v>114</v>
      </c>
      <c r="L114" s="5" t="s">
        <v>11</v>
      </c>
      <c r="M114" s="5" t="s">
        <v>57</v>
      </c>
      <c r="N114" s="5" t="s">
        <v>58</v>
      </c>
      <c r="O114" s="5" t="s">
        <v>42</v>
      </c>
      <c r="P114" s="5" t="s">
        <v>15</v>
      </c>
      <c r="Q114" s="5" t="s">
        <v>17</v>
      </c>
      <c r="R114" s="5" t="s">
        <v>43</v>
      </c>
      <c r="S114" s="5" t="s">
        <v>21</v>
      </c>
      <c r="T114" s="6" t="s">
        <v>23</v>
      </c>
      <c r="U114" s="6">
        <v>1</v>
      </c>
      <c r="V114" s="6" t="s">
        <v>26</v>
      </c>
      <c r="W114" s="6">
        <v>1</v>
      </c>
      <c r="X114" s="6" t="s">
        <v>60</v>
      </c>
      <c r="Y114">
        <v>1</v>
      </c>
      <c r="Z114" s="5" t="s">
        <v>46</v>
      </c>
      <c r="AA114" s="5" t="s">
        <v>46</v>
      </c>
      <c r="AB114" s="5" t="s">
        <v>46</v>
      </c>
    </row>
    <row r="115" spans="1:28" x14ac:dyDescent="0.35">
      <c r="A115" s="8" t="s">
        <v>1221</v>
      </c>
      <c r="B115" s="5" t="s">
        <v>192</v>
      </c>
      <c r="C115">
        <v>1953</v>
      </c>
      <c r="D115">
        <f t="shared" ca="1" si="0"/>
        <v>72</v>
      </c>
      <c r="E115" s="5" t="s">
        <v>6</v>
      </c>
      <c r="F115" t="s">
        <v>55</v>
      </c>
      <c r="G115" t="str">
        <f t="shared" si="2"/>
        <v>500.000–1.000.000</v>
      </c>
      <c r="H115" t="s">
        <v>30</v>
      </c>
      <c r="I115">
        <v>0</v>
      </c>
      <c r="J115" t="s">
        <v>8</v>
      </c>
      <c r="K115" s="5" t="s">
        <v>38</v>
      </c>
      <c r="L115" s="5" t="s">
        <v>11</v>
      </c>
      <c r="M115" s="5" t="s">
        <v>57</v>
      </c>
      <c r="N115" s="5" t="s">
        <v>58</v>
      </c>
      <c r="O115" s="5" t="s">
        <v>42</v>
      </c>
      <c r="P115" s="5" t="s">
        <v>15</v>
      </c>
      <c r="Q115" s="5" t="s">
        <v>17</v>
      </c>
      <c r="R115" s="5" t="s">
        <v>43</v>
      </c>
      <c r="S115" s="5" t="s">
        <v>21</v>
      </c>
      <c r="T115" s="6" t="s">
        <v>73</v>
      </c>
      <c r="U115" s="6">
        <v>0</v>
      </c>
      <c r="V115" s="6" t="s">
        <v>73</v>
      </c>
      <c r="W115" s="6">
        <v>0</v>
      </c>
      <c r="X115" s="6" t="s">
        <v>46</v>
      </c>
      <c r="Y115">
        <v>0</v>
      </c>
      <c r="Z115" s="5" t="s">
        <v>46</v>
      </c>
      <c r="AA115" s="5" t="s">
        <v>44</v>
      </c>
      <c r="AB115" s="5" t="s">
        <v>35</v>
      </c>
    </row>
    <row r="116" spans="1:28" x14ac:dyDescent="0.35">
      <c r="A116" s="8" t="s">
        <v>1222</v>
      </c>
      <c r="B116" s="5" t="s">
        <v>193</v>
      </c>
      <c r="C116">
        <v>1972</v>
      </c>
      <c r="D116">
        <f t="shared" ca="1" si="0"/>
        <v>53</v>
      </c>
      <c r="E116" s="5" t="s">
        <v>6</v>
      </c>
      <c r="F116" t="s">
        <v>137</v>
      </c>
      <c r="G116" t="str">
        <f t="shared" si="2"/>
        <v>500.000–1.000.000</v>
      </c>
      <c r="H116" t="s">
        <v>7</v>
      </c>
      <c r="I116">
        <v>3</v>
      </c>
      <c r="J116" t="s">
        <v>8</v>
      </c>
      <c r="K116" s="5" t="s">
        <v>38</v>
      </c>
      <c r="L116" s="5" t="s">
        <v>11</v>
      </c>
      <c r="M116" s="5" t="s">
        <v>57</v>
      </c>
      <c r="N116" s="5" t="s">
        <v>58</v>
      </c>
      <c r="O116" s="5" t="s">
        <v>42</v>
      </c>
      <c r="P116" s="5" t="s">
        <v>15</v>
      </c>
      <c r="Q116" s="5" t="s">
        <v>17</v>
      </c>
      <c r="R116" s="5" t="s">
        <v>43</v>
      </c>
      <c r="S116" s="5" t="s">
        <v>21</v>
      </c>
      <c r="T116" s="6" t="s">
        <v>23</v>
      </c>
      <c r="U116" s="6">
        <v>1</v>
      </c>
      <c r="V116" s="6" t="s">
        <v>117</v>
      </c>
      <c r="W116" s="6">
        <v>1</v>
      </c>
      <c r="X116" s="6" t="s">
        <v>46</v>
      </c>
      <c r="Y116">
        <v>3</v>
      </c>
      <c r="Z116" s="5" t="s">
        <v>46</v>
      </c>
      <c r="AA116" s="5" t="s">
        <v>46</v>
      </c>
      <c r="AB116" s="5" t="s">
        <v>46</v>
      </c>
    </row>
    <row r="117" spans="1:28" x14ac:dyDescent="0.35">
      <c r="A117" s="8" t="s">
        <v>1223</v>
      </c>
      <c r="B117" s="5" t="s">
        <v>194</v>
      </c>
      <c r="C117">
        <v>1982</v>
      </c>
      <c r="D117">
        <f t="shared" ca="1" si="0"/>
        <v>43</v>
      </c>
      <c r="E117" s="5" t="s">
        <v>28</v>
      </c>
      <c r="F117" t="s">
        <v>29</v>
      </c>
      <c r="G117" t="str">
        <f t="shared" si="2"/>
        <v>500.000–1.000.000</v>
      </c>
      <c r="H117" t="s">
        <v>7</v>
      </c>
      <c r="I117">
        <v>3</v>
      </c>
      <c r="J117" t="s">
        <v>8</v>
      </c>
      <c r="K117" s="5" t="s">
        <v>38</v>
      </c>
      <c r="L117" s="5" t="s">
        <v>11</v>
      </c>
      <c r="M117" s="5" t="s">
        <v>57</v>
      </c>
      <c r="N117" s="5" t="s">
        <v>58</v>
      </c>
      <c r="O117" s="5" t="s">
        <v>42</v>
      </c>
      <c r="P117" s="5" t="s">
        <v>15</v>
      </c>
      <c r="Q117" s="5" t="s">
        <v>17</v>
      </c>
      <c r="R117" s="5" t="s">
        <v>43</v>
      </c>
      <c r="S117" s="5" t="s">
        <v>21</v>
      </c>
      <c r="T117" s="6" t="s">
        <v>23</v>
      </c>
      <c r="U117" s="6">
        <v>1</v>
      </c>
      <c r="V117" s="6" t="s">
        <v>117</v>
      </c>
      <c r="W117" s="6">
        <v>1</v>
      </c>
      <c r="X117" s="6" t="s">
        <v>46</v>
      </c>
      <c r="Y117">
        <v>3</v>
      </c>
      <c r="Z117" s="5" t="s">
        <v>46</v>
      </c>
      <c r="AA117" s="5" t="s">
        <v>46</v>
      </c>
      <c r="AB117" s="5" t="s">
        <v>46</v>
      </c>
    </row>
    <row r="118" spans="1:28" x14ac:dyDescent="0.35">
      <c r="A118" s="8" t="s">
        <v>1224</v>
      </c>
      <c r="B118" s="5" t="s">
        <v>195</v>
      </c>
      <c r="C118">
        <v>1968</v>
      </c>
      <c r="D118">
        <f t="shared" ca="1" si="0"/>
        <v>57</v>
      </c>
      <c r="E118" s="5" t="s">
        <v>6</v>
      </c>
      <c r="F118" t="s">
        <v>29</v>
      </c>
      <c r="G118" t="str">
        <f t="shared" si="2"/>
        <v>&lt;500.000</v>
      </c>
      <c r="H118" t="s">
        <v>63</v>
      </c>
      <c r="I118">
        <v>3</v>
      </c>
      <c r="J118" t="s">
        <v>8</v>
      </c>
      <c r="K118" s="5" t="s">
        <v>38</v>
      </c>
      <c r="L118" s="5" t="s">
        <v>49</v>
      </c>
      <c r="M118" s="5" t="s">
        <v>40</v>
      </c>
      <c r="N118" s="5" t="s">
        <v>37</v>
      </c>
      <c r="O118" s="5" t="s">
        <v>42</v>
      </c>
      <c r="P118" s="5" t="s">
        <v>15</v>
      </c>
      <c r="Q118" s="5" t="s">
        <v>17</v>
      </c>
      <c r="R118" s="5" t="s">
        <v>87</v>
      </c>
      <c r="S118" s="5" t="s">
        <v>196</v>
      </c>
      <c r="T118" s="6" t="s">
        <v>23</v>
      </c>
      <c r="U118" s="6">
        <v>1</v>
      </c>
      <c r="V118" s="6" t="s">
        <v>181</v>
      </c>
      <c r="W118" s="6">
        <v>1</v>
      </c>
      <c r="X118" s="6" t="s">
        <v>44</v>
      </c>
      <c r="Y118">
        <v>1</v>
      </c>
      <c r="Z118" s="5" t="s">
        <v>46</v>
      </c>
      <c r="AA118" s="5" t="s">
        <v>46</v>
      </c>
      <c r="AB118" s="5" t="s">
        <v>46</v>
      </c>
    </row>
    <row r="119" spans="1:28" x14ac:dyDescent="0.35">
      <c r="A119" s="8" t="s">
        <v>1225</v>
      </c>
      <c r="B119" s="5" t="s">
        <v>197</v>
      </c>
      <c r="C119">
        <v>1982</v>
      </c>
      <c r="D119">
        <f t="shared" ca="1" si="0"/>
        <v>43</v>
      </c>
      <c r="E119" s="5" t="s">
        <v>28</v>
      </c>
      <c r="F119" t="s">
        <v>29</v>
      </c>
      <c r="G119" t="str">
        <f t="shared" si="2"/>
        <v>500.000–1.000.000</v>
      </c>
      <c r="H119" t="s">
        <v>7</v>
      </c>
      <c r="I119">
        <v>3</v>
      </c>
      <c r="J119" t="s">
        <v>8</v>
      </c>
      <c r="K119" s="5" t="s">
        <v>38</v>
      </c>
      <c r="L119" s="5" t="s">
        <v>49</v>
      </c>
      <c r="M119" s="5" t="s">
        <v>40</v>
      </c>
      <c r="N119" s="5" t="s">
        <v>37</v>
      </c>
      <c r="O119" s="5" t="s">
        <v>42</v>
      </c>
      <c r="P119" s="5" t="s">
        <v>15</v>
      </c>
      <c r="Q119" s="5" t="s">
        <v>17</v>
      </c>
      <c r="R119" s="5" t="s">
        <v>87</v>
      </c>
      <c r="S119" s="5" t="s">
        <v>196</v>
      </c>
      <c r="T119" s="6" t="s">
        <v>23</v>
      </c>
      <c r="U119" s="6">
        <v>1</v>
      </c>
      <c r="V119" s="6" t="s">
        <v>181</v>
      </c>
      <c r="W119" s="6">
        <v>1</v>
      </c>
      <c r="X119" s="6" t="s">
        <v>44</v>
      </c>
      <c r="Y119">
        <v>1</v>
      </c>
      <c r="Z119" s="5" t="s">
        <v>46</v>
      </c>
      <c r="AA119" s="5" t="s">
        <v>46</v>
      </c>
      <c r="AB119" s="5" t="s">
        <v>46</v>
      </c>
    </row>
    <row r="120" spans="1:28" x14ac:dyDescent="0.35">
      <c r="A120" s="8" t="s">
        <v>1226</v>
      </c>
      <c r="B120" s="5" t="s">
        <v>198</v>
      </c>
      <c r="C120">
        <v>1982</v>
      </c>
      <c r="D120">
        <f t="shared" ca="1" si="0"/>
        <v>43</v>
      </c>
      <c r="E120" s="5" t="s">
        <v>6</v>
      </c>
      <c r="F120" t="s">
        <v>137</v>
      </c>
      <c r="G120" t="str">
        <f t="shared" si="2"/>
        <v>500.000–1.000.000</v>
      </c>
      <c r="H120" t="s">
        <v>30</v>
      </c>
      <c r="I120">
        <v>3</v>
      </c>
      <c r="J120" t="s">
        <v>8</v>
      </c>
      <c r="K120" s="5" t="s">
        <v>38</v>
      </c>
      <c r="L120" s="5" t="s">
        <v>11</v>
      </c>
      <c r="M120" s="5" t="s">
        <v>57</v>
      </c>
      <c r="N120" s="5" t="s">
        <v>58</v>
      </c>
      <c r="O120" s="5" t="s">
        <v>42</v>
      </c>
      <c r="P120" s="5" t="s">
        <v>15</v>
      </c>
      <c r="Q120" s="5" t="s">
        <v>17</v>
      </c>
      <c r="R120" s="5" t="s">
        <v>43</v>
      </c>
      <c r="S120" s="5" t="s">
        <v>21</v>
      </c>
      <c r="T120" s="6" t="s">
        <v>23</v>
      </c>
      <c r="U120" s="6">
        <v>1</v>
      </c>
      <c r="V120" s="6" t="s">
        <v>26</v>
      </c>
      <c r="W120" s="6">
        <v>1</v>
      </c>
      <c r="X120" s="6" t="s">
        <v>44</v>
      </c>
      <c r="Y120">
        <v>2</v>
      </c>
      <c r="Z120" s="5" t="s">
        <v>44</v>
      </c>
      <c r="AA120" s="5" t="s">
        <v>46</v>
      </c>
      <c r="AB120" s="5" t="s">
        <v>46</v>
      </c>
    </row>
    <row r="121" spans="1:28" x14ac:dyDescent="0.35">
      <c r="A121" s="8" t="s">
        <v>1227</v>
      </c>
      <c r="B121" s="5" t="s">
        <v>199</v>
      </c>
      <c r="C121">
        <v>1983</v>
      </c>
      <c r="D121">
        <f t="shared" ca="1" si="0"/>
        <v>42</v>
      </c>
      <c r="E121" s="5" t="s">
        <v>28</v>
      </c>
      <c r="F121" t="s">
        <v>29</v>
      </c>
      <c r="G121" t="str">
        <f t="shared" si="2"/>
        <v>500.000–1.000.000</v>
      </c>
      <c r="H121" t="s">
        <v>139</v>
      </c>
      <c r="I121">
        <v>3</v>
      </c>
      <c r="J121" t="s">
        <v>8</v>
      </c>
      <c r="K121" s="5" t="s">
        <v>38</v>
      </c>
      <c r="L121" s="5" t="s">
        <v>11</v>
      </c>
      <c r="M121" s="5" t="s">
        <v>57</v>
      </c>
      <c r="N121" s="5" t="s">
        <v>58</v>
      </c>
      <c r="O121" s="5" t="s">
        <v>42</v>
      </c>
      <c r="P121" s="5" t="s">
        <v>15</v>
      </c>
      <c r="Q121" s="5" t="s">
        <v>17</v>
      </c>
      <c r="R121" s="5" t="s">
        <v>43</v>
      </c>
      <c r="S121" s="5" t="s">
        <v>21</v>
      </c>
      <c r="T121" s="6" t="s">
        <v>23</v>
      </c>
      <c r="U121" s="6">
        <v>1</v>
      </c>
      <c r="V121" s="6" t="s">
        <v>26</v>
      </c>
      <c r="W121" s="6">
        <v>1</v>
      </c>
      <c r="X121" s="6" t="s">
        <v>44</v>
      </c>
      <c r="Y121">
        <v>2</v>
      </c>
      <c r="Z121" s="5" t="s">
        <v>44</v>
      </c>
      <c r="AA121" s="5" t="s">
        <v>46</v>
      </c>
      <c r="AB121" s="5" t="s">
        <v>46</v>
      </c>
    </row>
    <row r="122" spans="1:28" x14ac:dyDescent="0.35">
      <c r="A122" s="8" t="s">
        <v>1228</v>
      </c>
      <c r="B122" s="5" t="s">
        <v>200</v>
      </c>
      <c r="C122">
        <v>1991</v>
      </c>
      <c r="D122">
        <f t="shared" ca="1" si="0"/>
        <v>34</v>
      </c>
      <c r="E122" s="5" t="s">
        <v>6</v>
      </c>
      <c r="F122" t="s">
        <v>54</v>
      </c>
      <c r="G122" t="str">
        <f t="shared" si="2"/>
        <v>500.000–1.000.000</v>
      </c>
      <c r="H122" t="s">
        <v>7</v>
      </c>
      <c r="I122">
        <v>1</v>
      </c>
      <c r="J122" t="s">
        <v>8</v>
      </c>
      <c r="K122" s="5" t="s">
        <v>10</v>
      </c>
      <c r="L122" s="5" t="s">
        <v>11</v>
      </c>
      <c r="M122" s="5" t="s">
        <v>14</v>
      </c>
      <c r="N122" s="5" t="s">
        <v>37</v>
      </c>
      <c r="O122" s="5" t="s">
        <v>42</v>
      </c>
      <c r="P122" s="5" t="s">
        <v>15</v>
      </c>
      <c r="Q122" s="5" t="s">
        <v>17</v>
      </c>
      <c r="R122" s="5" t="s">
        <v>19</v>
      </c>
      <c r="S122" s="5" t="s">
        <v>21</v>
      </c>
      <c r="T122" s="6" t="s">
        <v>23</v>
      </c>
      <c r="U122" s="6">
        <v>1</v>
      </c>
      <c r="V122" s="6" t="s">
        <v>76</v>
      </c>
      <c r="W122">
        <v>1</v>
      </c>
      <c r="X122" s="6" t="s">
        <v>46</v>
      </c>
      <c r="Y122">
        <v>0</v>
      </c>
      <c r="Z122" s="5" t="s">
        <v>44</v>
      </c>
      <c r="AA122" s="5" t="s">
        <v>46</v>
      </c>
      <c r="AB122" s="5" t="s">
        <v>46</v>
      </c>
    </row>
    <row r="123" spans="1:28" x14ac:dyDescent="0.35">
      <c r="A123" s="8" t="s">
        <v>1229</v>
      </c>
      <c r="B123" s="5" t="s">
        <v>201</v>
      </c>
      <c r="C123">
        <v>1999</v>
      </c>
      <c r="D123">
        <f t="shared" ca="1" si="0"/>
        <v>26</v>
      </c>
      <c r="E123" s="5" t="s">
        <v>28</v>
      </c>
      <c r="F123" t="s">
        <v>54</v>
      </c>
      <c r="G123" t="str">
        <f t="shared" si="2"/>
        <v>1.000.000–2.000.000</v>
      </c>
      <c r="H123" t="s">
        <v>139</v>
      </c>
      <c r="I123">
        <v>1</v>
      </c>
      <c r="J123" t="s">
        <v>8</v>
      </c>
      <c r="K123" s="5" t="s">
        <v>10</v>
      </c>
      <c r="L123" s="5" t="s">
        <v>11</v>
      </c>
      <c r="M123" s="5" t="s">
        <v>14</v>
      </c>
      <c r="N123" s="5" t="s">
        <v>37</v>
      </c>
      <c r="O123" s="5" t="s">
        <v>42</v>
      </c>
      <c r="P123" s="5" t="s">
        <v>15</v>
      </c>
      <c r="Q123" s="5" t="s">
        <v>17</v>
      </c>
      <c r="R123" s="5" t="s">
        <v>19</v>
      </c>
      <c r="S123" s="5" t="s">
        <v>21</v>
      </c>
      <c r="T123" s="6" t="s">
        <v>23</v>
      </c>
      <c r="U123" s="6">
        <v>1</v>
      </c>
      <c r="V123" s="6" t="s">
        <v>76</v>
      </c>
      <c r="W123">
        <v>1</v>
      </c>
      <c r="X123" s="6" t="s">
        <v>46</v>
      </c>
      <c r="Y123">
        <v>0</v>
      </c>
      <c r="Z123" s="5" t="s">
        <v>44</v>
      </c>
      <c r="AA123" s="5" t="s">
        <v>46</v>
      </c>
      <c r="AB123" s="5" t="s">
        <v>46</v>
      </c>
    </row>
    <row r="124" spans="1:28" x14ac:dyDescent="0.35">
      <c r="A124" s="8" t="s">
        <v>1230</v>
      </c>
      <c r="B124" s="5" t="s">
        <v>202</v>
      </c>
      <c r="C124">
        <v>1942</v>
      </c>
      <c r="D124">
        <f t="shared" ca="1" si="0"/>
        <v>83</v>
      </c>
      <c r="E124" s="5" t="s">
        <v>6</v>
      </c>
      <c r="F124" t="s">
        <v>29</v>
      </c>
      <c r="G124" t="str">
        <f t="shared" si="2"/>
        <v>&lt;500.000</v>
      </c>
      <c r="H124" t="s">
        <v>30</v>
      </c>
      <c r="I124">
        <v>0</v>
      </c>
      <c r="J124" t="s">
        <v>8</v>
      </c>
      <c r="K124" s="5" t="s">
        <v>114</v>
      </c>
      <c r="L124" s="5" t="s">
        <v>11</v>
      </c>
      <c r="M124" s="5" t="s">
        <v>57</v>
      </c>
      <c r="N124" s="5" t="s">
        <v>58</v>
      </c>
      <c r="O124" s="5" t="s">
        <v>42</v>
      </c>
      <c r="P124" s="5" t="s">
        <v>15</v>
      </c>
      <c r="Q124" s="5" t="s">
        <v>17</v>
      </c>
      <c r="R124" s="5" t="s">
        <v>43</v>
      </c>
      <c r="S124" s="5" t="s">
        <v>21</v>
      </c>
      <c r="T124" s="6" t="s">
        <v>73</v>
      </c>
      <c r="U124" s="6">
        <v>0</v>
      </c>
      <c r="V124" s="6" t="s">
        <v>73</v>
      </c>
      <c r="W124">
        <v>0</v>
      </c>
      <c r="X124" s="6" t="s">
        <v>46</v>
      </c>
      <c r="Y124">
        <v>0</v>
      </c>
      <c r="Z124" s="5" t="s">
        <v>46</v>
      </c>
      <c r="AA124" s="5" t="s">
        <v>44</v>
      </c>
      <c r="AB124" s="5" t="s">
        <v>35</v>
      </c>
    </row>
    <row r="125" spans="1:28" x14ac:dyDescent="0.35">
      <c r="A125" s="8" t="s">
        <v>1231</v>
      </c>
      <c r="B125" s="5" t="s">
        <v>203</v>
      </c>
      <c r="C125">
        <v>2000</v>
      </c>
      <c r="D125">
        <f t="shared" ca="1" si="0"/>
        <v>25</v>
      </c>
      <c r="E125" s="5" t="s">
        <v>6</v>
      </c>
      <c r="F125" t="s">
        <v>29</v>
      </c>
      <c r="G125" t="str">
        <f t="shared" si="2"/>
        <v>&lt;500.000</v>
      </c>
      <c r="H125" t="s">
        <v>63</v>
      </c>
      <c r="I125">
        <v>1</v>
      </c>
      <c r="J125" t="s">
        <v>8</v>
      </c>
      <c r="K125" s="5" t="s">
        <v>114</v>
      </c>
      <c r="L125" s="5" t="s">
        <v>11</v>
      </c>
      <c r="M125" s="5" t="s">
        <v>57</v>
      </c>
      <c r="N125" s="5" t="s">
        <v>58</v>
      </c>
      <c r="O125" s="5" t="s">
        <v>89</v>
      </c>
      <c r="P125" s="5" t="s">
        <v>15</v>
      </c>
      <c r="Q125" s="5" t="s">
        <v>17</v>
      </c>
      <c r="R125" s="5" t="s">
        <v>43</v>
      </c>
      <c r="S125" s="5" t="s">
        <v>21</v>
      </c>
      <c r="T125" s="6" t="s">
        <v>73</v>
      </c>
      <c r="U125" s="6">
        <v>0</v>
      </c>
      <c r="V125" s="6" t="s">
        <v>73</v>
      </c>
      <c r="W125">
        <v>0</v>
      </c>
      <c r="X125" s="6" t="s">
        <v>46</v>
      </c>
      <c r="Y125">
        <v>0</v>
      </c>
      <c r="Z125" s="5" t="s">
        <v>44</v>
      </c>
      <c r="AA125" s="5" t="s">
        <v>46</v>
      </c>
      <c r="AB125" s="5" t="s">
        <v>46</v>
      </c>
    </row>
    <row r="126" spans="1:28" x14ac:dyDescent="0.35">
      <c r="A126" s="8" t="s">
        <v>1232</v>
      </c>
      <c r="B126" s="5" t="s">
        <v>204</v>
      </c>
      <c r="C126">
        <v>2003</v>
      </c>
      <c r="D126">
        <f t="shared" ca="1" si="0"/>
        <v>22</v>
      </c>
      <c r="E126" s="5" t="s">
        <v>28</v>
      </c>
      <c r="F126" t="s">
        <v>29</v>
      </c>
      <c r="G126" t="str">
        <f t="shared" si="2"/>
        <v>&lt;500.000</v>
      </c>
      <c r="H126" t="s">
        <v>63</v>
      </c>
      <c r="I126">
        <v>1</v>
      </c>
      <c r="J126" t="s">
        <v>8</v>
      </c>
      <c r="K126" s="5" t="s">
        <v>114</v>
      </c>
      <c r="L126" s="5" t="s">
        <v>11</v>
      </c>
      <c r="M126" s="5" t="s">
        <v>57</v>
      </c>
      <c r="N126" s="5" t="s">
        <v>58</v>
      </c>
      <c r="O126" s="5" t="s">
        <v>89</v>
      </c>
      <c r="P126" s="5" t="s">
        <v>15</v>
      </c>
      <c r="Q126" s="5" t="s">
        <v>17</v>
      </c>
      <c r="R126" s="5" t="s">
        <v>43</v>
      </c>
      <c r="S126" s="5" t="s">
        <v>21</v>
      </c>
      <c r="T126" s="6" t="s">
        <v>73</v>
      </c>
      <c r="U126" s="6">
        <v>0</v>
      </c>
      <c r="V126" s="6" t="s">
        <v>73</v>
      </c>
      <c r="W126">
        <v>0</v>
      </c>
      <c r="X126" s="6" t="s">
        <v>46</v>
      </c>
      <c r="Y126">
        <v>0</v>
      </c>
      <c r="Z126" s="5" t="s">
        <v>44</v>
      </c>
      <c r="AA126" s="5" t="s">
        <v>46</v>
      </c>
      <c r="AB126" s="5" t="s">
        <v>46</v>
      </c>
    </row>
    <row r="127" spans="1:28" x14ac:dyDescent="0.35">
      <c r="A127" s="8" t="s">
        <v>1233</v>
      </c>
      <c r="B127" s="5" t="s">
        <v>205</v>
      </c>
      <c r="C127">
        <v>1984</v>
      </c>
      <c r="D127">
        <f t="shared" ca="1" si="0"/>
        <v>41</v>
      </c>
      <c r="E127" s="5" t="s">
        <v>6</v>
      </c>
      <c r="F127" t="s">
        <v>162</v>
      </c>
      <c r="G127" t="str">
        <f t="shared" si="2"/>
        <v>1.000.000–2.000.000</v>
      </c>
      <c r="H127" t="s">
        <v>7</v>
      </c>
      <c r="I127">
        <v>1</v>
      </c>
      <c r="J127" t="s">
        <v>72</v>
      </c>
      <c r="K127" s="5" t="s">
        <v>38</v>
      </c>
      <c r="L127" s="5" t="s">
        <v>49</v>
      </c>
      <c r="M127" s="5" t="s">
        <v>40</v>
      </c>
      <c r="N127" s="5" t="s">
        <v>37</v>
      </c>
      <c r="O127" s="5" t="s">
        <v>42</v>
      </c>
      <c r="P127" s="5" t="s">
        <v>15</v>
      </c>
      <c r="Q127" s="5" t="s">
        <v>17</v>
      </c>
      <c r="R127" s="5" t="s">
        <v>43</v>
      </c>
      <c r="S127" s="5" t="s">
        <v>21</v>
      </c>
      <c r="T127" s="6" t="s">
        <v>23</v>
      </c>
      <c r="U127" s="6">
        <v>1</v>
      </c>
      <c r="V127" s="6" t="s">
        <v>52</v>
      </c>
      <c r="W127" s="6">
        <v>1</v>
      </c>
      <c r="X127" s="6" t="s">
        <v>46</v>
      </c>
      <c r="Y127">
        <v>1</v>
      </c>
      <c r="Z127" s="5" t="s">
        <v>46</v>
      </c>
      <c r="AA127" s="5" t="s">
        <v>46</v>
      </c>
      <c r="AB127" s="5" t="s">
        <v>74</v>
      </c>
    </row>
    <row r="128" spans="1:28" x14ac:dyDescent="0.35">
      <c r="A128" s="8" t="s">
        <v>1234</v>
      </c>
      <c r="B128" s="5" t="s">
        <v>206</v>
      </c>
      <c r="C128">
        <v>1984</v>
      </c>
      <c r="D128">
        <f t="shared" ca="1" si="0"/>
        <v>41</v>
      </c>
      <c r="E128" s="5" t="s">
        <v>28</v>
      </c>
      <c r="F128" t="s">
        <v>119</v>
      </c>
      <c r="G128" t="str">
        <f t="shared" si="2"/>
        <v>500.000–1.000.000</v>
      </c>
      <c r="H128" t="s">
        <v>7</v>
      </c>
      <c r="I128">
        <v>1</v>
      </c>
      <c r="J128" t="s">
        <v>72</v>
      </c>
      <c r="K128" s="5" t="s">
        <v>38</v>
      </c>
      <c r="L128" s="5" t="s">
        <v>49</v>
      </c>
      <c r="M128" s="5" t="s">
        <v>40</v>
      </c>
      <c r="N128" s="5" t="s">
        <v>37</v>
      </c>
      <c r="O128" s="5" t="s">
        <v>42</v>
      </c>
      <c r="P128" s="5" t="s">
        <v>15</v>
      </c>
      <c r="Q128" s="5" t="s">
        <v>17</v>
      </c>
      <c r="R128" s="5" t="s">
        <v>43</v>
      </c>
      <c r="S128" s="5" t="s">
        <v>21</v>
      </c>
      <c r="T128" s="6" t="s">
        <v>23</v>
      </c>
      <c r="U128" s="6">
        <v>1</v>
      </c>
      <c r="V128" s="6" t="s">
        <v>52</v>
      </c>
      <c r="W128" s="6">
        <v>1</v>
      </c>
      <c r="X128" s="6" t="s">
        <v>46</v>
      </c>
      <c r="Y128">
        <v>1</v>
      </c>
      <c r="Z128" s="5" t="s">
        <v>46</v>
      </c>
      <c r="AA128" s="5" t="s">
        <v>46</v>
      </c>
      <c r="AB128" s="5" t="s">
        <v>74</v>
      </c>
    </row>
    <row r="129" spans="1:28" x14ac:dyDescent="0.35">
      <c r="A129" s="8" t="s">
        <v>1235</v>
      </c>
      <c r="B129" s="5" t="s">
        <v>207</v>
      </c>
      <c r="C129">
        <v>1979</v>
      </c>
      <c r="D129">
        <f t="shared" ca="1" si="0"/>
        <v>46</v>
      </c>
      <c r="E129" s="5" t="s">
        <v>6</v>
      </c>
      <c r="F129" t="s">
        <v>29</v>
      </c>
      <c r="G129" t="str">
        <f t="shared" ref="G129:G192" si="3">IF(OR(
    F129="Tidak bekerja",
    F129="Pekerja keluarga/Tidak dibayar"),
    IF(OR(H129="Tidak Sekolah", H129="SD"), "&lt;500.000", "500.000–1.000.000"),
IF(OR(
    F129="Pekerja Bebas Pertanian",
    F129="Pekerja Bebas non-Pertanian"),
    IF(OR(H129="Tidak Sekolah", H129="SD", H129="SMP"), "500.000–1.000.000", "1.000.000–2.000.000"),
IF(F129="Buruh/Karyawan/Pegawai Swasta",
    IF(OR(H129="SD", H129="SMP"), "500.000–1.000.000",
       IF(OR(H129="SMA/SMK", H129="D1/2/3"), "1.000.000–2.000.000", "2.000.000–3.000.000")
    ),
IF(F129="Berusaha Sendiri",
    IF(OR(H129="SD", H129="SMP"), "500.000–1.000.000", "1.000.000–2.000.000"),
IF(F129="Berusaha dibantu buruh tidak tetap/Tidak dibayar", "1.000.000–2.000.000",
IF(F129="Berusaha dibantu buruh tetap/Dibayar", "2.000.000–3.000.000",
IF(F129="PNS/TNI/Polri/BUMN/BUMD/Anggota Legislatif", "2.000.000–3.000.000",
""
)))))))</f>
        <v>&lt;500.000</v>
      </c>
      <c r="H129" t="s">
        <v>63</v>
      </c>
      <c r="I129">
        <v>2</v>
      </c>
      <c r="J129" t="s">
        <v>8</v>
      </c>
      <c r="K129" s="5" t="s">
        <v>114</v>
      </c>
      <c r="L129" s="5" t="s">
        <v>11</v>
      </c>
      <c r="M129" s="5" t="s">
        <v>57</v>
      </c>
      <c r="N129" s="5" t="s">
        <v>58</v>
      </c>
      <c r="O129" s="5" t="s">
        <v>89</v>
      </c>
      <c r="P129" s="5" t="s">
        <v>15</v>
      </c>
      <c r="Q129" s="5" t="s">
        <v>17</v>
      </c>
      <c r="R129" s="5" t="s">
        <v>43</v>
      </c>
      <c r="S129" s="5" t="s">
        <v>21</v>
      </c>
      <c r="T129" s="6" t="s">
        <v>73</v>
      </c>
      <c r="U129" s="6">
        <v>0</v>
      </c>
      <c r="V129" s="6" t="s">
        <v>73</v>
      </c>
      <c r="W129" s="6">
        <v>0</v>
      </c>
      <c r="X129" s="6" t="s">
        <v>46</v>
      </c>
      <c r="Y129">
        <v>2</v>
      </c>
      <c r="Z129" s="5" t="s">
        <v>46</v>
      </c>
      <c r="AA129" s="5" t="s">
        <v>46</v>
      </c>
      <c r="AB129" s="5" t="s">
        <v>46</v>
      </c>
    </row>
    <row r="130" spans="1:28" x14ac:dyDescent="0.35">
      <c r="A130" s="8" t="s">
        <v>1236</v>
      </c>
      <c r="B130" s="5" t="s">
        <v>208</v>
      </c>
      <c r="C130">
        <v>1976</v>
      </c>
      <c r="D130">
        <f t="shared" ca="1" si="0"/>
        <v>49</v>
      </c>
      <c r="E130" s="5" t="s">
        <v>28</v>
      </c>
      <c r="F130" t="s">
        <v>29</v>
      </c>
      <c r="G130" t="str">
        <f t="shared" si="3"/>
        <v>&lt;500.000</v>
      </c>
      <c r="H130" t="s">
        <v>63</v>
      </c>
      <c r="I130">
        <v>2</v>
      </c>
      <c r="J130" t="s">
        <v>8</v>
      </c>
      <c r="K130" s="5" t="s">
        <v>114</v>
      </c>
      <c r="L130" s="5" t="s">
        <v>11</v>
      </c>
      <c r="M130" s="5" t="s">
        <v>57</v>
      </c>
      <c r="N130" s="5" t="s">
        <v>58</v>
      </c>
      <c r="O130" s="5" t="s">
        <v>89</v>
      </c>
      <c r="P130" s="5" t="s">
        <v>15</v>
      </c>
      <c r="Q130" s="5" t="s">
        <v>17</v>
      </c>
      <c r="R130" s="5" t="s">
        <v>43</v>
      </c>
      <c r="S130" s="5" t="s">
        <v>21</v>
      </c>
      <c r="T130" s="6" t="s">
        <v>73</v>
      </c>
      <c r="U130" s="6">
        <v>0</v>
      </c>
      <c r="V130" s="6" t="s">
        <v>73</v>
      </c>
      <c r="W130" s="6">
        <v>0</v>
      </c>
      <c r="X130" s="6" t="s">
        <v>46</v>
      </c>
      <c r="Y130">
        <v>2</v>
      </c>
      <c r="Z130" s="5" t="s">
        <v>46</v>
      </c>
      <c r="AA130" s="5" t="s">
        <v>46</v>
      </c>
      <c r="AB130" s="5" t="s">
        <v>46</v>
      </c>
    </row>
    <row r="131" spans="1:28" x14ac:dyDescent="0.35">
      <c r="A131" s="8" t="s">
        <v>1237</v>
      </c>
      <c r="B131" s="5" t="s">
        <v>209</v>
      </c>
      <c r="C131">
        <v>1943</v>
      </c>
      <c r="D131">
        <f t="shared" ca="1" si="0"/>
        <v>82</v>
      </c>
      <c r="E131" s="5" t="s">
        <v>6</v>
      </c>
      <c r="F131" t="s">
        <v>29</v>
      </c>
      <c r="G131" t="str">
        <f t="shared" si="3"/>
        <v>500.000–1.000.000</v>
      </c>
      <c r="H131" t="s">
        <v>7</v>
      </c>
      <c r="I131">
        <v>0</v>
      </c>
      <c r="J131" t="s">
        <v>8</v>
      </c>
      <c r="K131" s="5" t="s">
        <v>38</v>
      </c>
      <c r="L131" s="5" t="s">
        <v>11</v>
      </c>
      <c r="M131" s="5" t="s">
        <v>57</v>
      </c>
      <c r="N131" s="5" t="s">
        <v>58</v>
      </c>
      <c r="O131" s="5" t="s">
        <v>42</v>
      </c>
      <c r="P131" s="5" t="s">
        <v>15</v>
      </c>
      <c r="Q131" s="5" t="s">
        <v>17</v>
      </c>
      <c r="R131" s="5" t="s">
        <v>43</v>
      </c>
      <c r="S131" s="5" t="s">
        <v>21</v>
      </c>
      <c r="T131" s="6" t="s">
        <v>23</v>
      </c>
      <c r="U131" s="6">
        <v>1</v>
      </c>
      <c r="V131" s="6" t="s">
        <v>73</v>
      </c>
      <c r="W131" s="6">
        <v>1</v>
      </c>
      <c r="X131" s="6" t="s">
        <v>46</v>
      </c>
      <c r="Y131">
        <v>0</v>
      </c>
      <c r="Z131" s="5" t="s">
        <v>46</v>
      </c>
      <c r="AA131" s="5" t="s">
        <v>44</v>
      </c>
      <c r="AB131" s="5" t="s">
        <v>35</v>
      </c>
    </row>
    <row r="132" spans="1:28" x14ac:dyDescent="0.35">
      <c r="A132" s="8" t="s">
        <v>1238</v>
      </c>
      <c r="B132" s="5" t="s">
        <v>210</v>
      </c>
      <c r="C132">
        <v>1978</v>
      </c>
      <c r="D132">
        <f t="shared" ca="1" si="0"/>
        <v>47</v>
      </c>
      <c r="E132" s="5" t="s">
        <v>6</v>
      </c>
      <c r="F132" t="s">
        <v>29</v>
      </c>
      <c r="G132" t="str">
        <f t="shared" si="3"/>
        <v>&lt;500.000</v>
      </c>
      <c r="H132" t="s">
        <v>63</v>
      </c>
      <c r="I132">
        <v>3</v>
      </c>
      <c r="J132" t="s">
        <v>8</v>
      </c>
      <c r="K132" s="5" t="s">
        <v>38</v>
      </c>
      <c r="L132" s="5" t="s">
        <v>11</v>
      </c>
      <c r="M132" s="5" t="s">
        <v>57</v>
      </c>
      <c r="N132" s="5" t="s">
        <v>58</v>
      </c>
      <c r="O132" s="5" t="s">
        <v>42</v>
      </c>
      <c r="P132" s="5" t="s">
        <v>15</v>
      </c>
      <c r="Q132" s="5" t="s">
        <v>17</v>
      </c>
      <c r="R132" s="5" t="s">
        <v>43</v>
      </c>
      <c r="S132" s="5" t="s">
        <v>21</v>
      </c>
      <c r="T132" s="6" t="s">
        <v>23</v>
      </c>
      <c r="U132" s="6">
        <v>1</v>
      </c>
      <c r="V132" s="6" t="s">
        <v>76</v>
      </c>
      <c r="W132" s="6">
        <v>1</v>
      </c>
      <c r="X132" s="6" t="s">
        <v>46</v>
      </c>
      <c r="Y132">
        <v>1</v>
      </c>
      <c r="Z132" s="5" t="s">
        <v>46</v>
      </c>
      <c r="AA132" s="5" t="s">
        <v>46</v>
      </c>
      <c r="AB132" s="5" t="s">
        <v>46</v>
      </c>
    </row>
    <row r="133" spans="1:28" x14ac:dyDescent="0.35">
      <c r="A133" s="8" t="s">
        <v>1239</v>
      </c>
      <c r="B133" s="5" t="s">
        <v>211</v>
      </c>
      <c r="C133">
        <v>1971</v>
      </c>
      <c r="D133">
        <f t="shared" ca="1" si="0"/>
        <v>54</v>
      </c>
      <c r="E133" s="5" t="s">
        <v>6</v>
      </c>
      <c r="F133" t="s">
        <v>137</v>
      </c>
      <c r="G133" t="str">
        <f t="shared" si="3"/>
        <v>500.000–1.000.000</v>
      </c>
      <c r="H133" t="s">
        <v>30</v>
      </c>
      <c r="I133">
        <v>4</v>
      </c>
      <c r="J133" t="s">
        <v>8</v>
      </c>
      <c r="K133" s="5" t="s">
        <v>38</v>
      </c>
      <c r="L133" s="5" t="s">
        <v>11</v>
      </c>
      <c r="M133" s="5" t="s">
        <v>57</v>
      </c>
      <c r="N133" s="5" t="s">
        <v>58</v>
      </c>
      <c r="O133" s="5" t="s">
        <v>42</v>
      </c>
      <c r="P133" s="5" t="s">
        <v>15</v>
      </c>
      <c r="Q133" s="5" t="s">
        <v>17</v>
      </c>
      <c r="R133" s="5" t="s">
        <v>43</v>
      </c>
      <c r="S133" s="5" t="s">
        <v>21</v>
      </c>
      <c r="T133" s="6" t="s">
        <v>23</v>
      </c>
      <c r="U133" s="6">
        <v>1</v>
      </c>
      <c r="V133" s="6" t="s">
        <v>26</v>
      </c>
      <c r="W133" s="6">
        <v>1</v>
      </c>
      <c r="X133" s="6" t="s">
        <v>60</v>
      </c>
      <c r="Y133">
        <v>2</v>
      </c>
      <c r="Z133" s="5" t="s">
        <v>46</v>
      </c>
      <c r="AA133" s="5" t="s">
        <v>46</v>
      </c>
      <c r="AB133" s="5" t="s">
        <v>74</v>
      </c>
    </row>
    <row r="134" spans="1:28" x14ac:dyDescent="0.35">
      <c r="A134" s="8" t="s">
        <v>1240</v>
      </c>
      <c r="B134" s="5" t="s">
        <v>212</v>
      </c>
      <c r="C134">
        <v>1973</v>
      </c>
      <c r="D134">
        <f t="shared" ca="1" si="0"/>
        <v>52</v>
      </c>
      <c r="E134" s="5" t="s">
        <v>28</v>
      </c>
      <c r="F134" t="s">
        <v>29</v>
      </c>
      <c r="G134" t="str">
        <f t="shared" si="3"/>
        <v>&lt;500.000</v>
      </c>
      <c r="H134" t="s">
        <v>30</v>
      </c>
      <c r="I134">
        <v>4</v>
      </c>
      <c r="J134" t="s">
        <v>8</v>
      </c>
      <c r="K134" s="5" t="s">
        <v>38</v>
      </c>
      <c r="L134" s="5" t="s">
        <v>11</v>
      </c>
      <c r="M134" s="5" t="s">
        <v>57</v>
      </c>
      <c r="N134" s="5" t="s">
        <v>58</v>
      </c>
      <c r="O134" s="5" t="s">
        <v>42</v>
      </c>
      <c r="P134" s="5" t="s">
        <v>15</v>
      </c>
      <c r="Q134" s="5" t="s">
        <v>17</v>
      </c>
      <c r="R134" s="5" t="s">
        <v>43</v>
      </c>
      <c r="S134" s="5" t="s">
        <v>21</v>
      </c>
      <c r="T134" s="6" t="s">
        <v>23</v>
      </c>
      <c r="U134" s="6">
        <v>1</v>
      </c>
      <c r="V134" s="6" t="s">
        <v>26</v>
      </c>
      <c r="W134" s="6">
        <v>1</v>
      </c>
      <c r="X134" s="6" t="s">
        <v>60</v>
      </c>
      <c r="Y134">
        <v>2</v>
      </c>
      <c r="Z134" s="5" t="s">
        <v>46</v>
      </c>
      <c r="AA134" s="5" t="s">
        <v>46</v>
      </c>
      <c r="AB134" s="5" t="s">
        <v>74</v>
      </c>
    </row>
    <row r="135" spans="1:28" x14ac:dyDescent="0.35">
      <c r="A135" s="8" t="s">
        <v>1241</v>
      </c>
      <c r="B135" s="5" t="s">
        <v>213</v>
      </c>
      <c r="C135">
        <v>1977</v>
      </c>
      <c r="D135">
        <f t="shared" ca="1" si="0"/>
        <v>48</v>
      </c>
      <c r="E135" s="5" t="s">
        <v>6</v>
      </c>
      <c r="F135" t="s">
        <v>162</v>
      </c>
      <c r="G135" t="str">
        <f t="shared" si="3"/>
        <v>1.000.000–2.000.000</v>
      </c>
      <c r="H135" t="s">
        <v>7</v>
      </c>
      <c r="I135">
        <v>5</v>
      </c>
      <c r="J135" t="s">
        <v>8</v>
      </c>
      <c r="K135" s="5" t="s">
        <v>38</v>
      </c>
      <c r="L135" s="5" t="s">
        <v>49</v>
      </c>
      <c r="M135" s="5" t="s">
        <v>57</v>
      </c>
      <c r="N135" s="5" t="s">
        <v>58</v>
      </c>
      <c r="O135" s="5" t="s">
        <v>42</v>
      </c>
      <c r="P135" s="5" t="s">
        <v>15</v>
      </c>
      <c r="Q135" s="5" t="s">
        <v>17</v>
      </c>
      <c r="R135" s="5" t="s">
        <v>43</v>
      </c>
      <c r="S135" s="5" t="s">
        <v>21</v>
      </c>
      <c r="T135" s="6" t="s">
        <v>23</v>
      </c>
      <c r="U135" s="6">
        <v>1</v>
      </c>
      <c r="V135" s="6" t="s">
        <v>26</v>
      </c>
      <c r="W135" s="6">
        <v>1</v>
      </c>
      <c r="X135" s="6" t="s">
        <v>44</v>
      </c>
      <c r="Y135">
        <v>1</v>
      </c>
      <c r="Z135" s="5" t="s">
        <v>46</v>
      </c>
      <c r="AA135" s="5" t="s">
        <v>46</v>
      </c>
      <c r="AB135" s="5" t="s">
        <v>74</v>
      </c>
    </row>
    <row r="136" spans="1:28" x14ac:dyDescent="0.35">
      <c r="A136" s="8" t="s">
        <v>1242</v>
      </c>
      <c r="B136" s="5" t="s">
        <v>214</v>
      </c>
      <c r="C136">
        <v>1978</v>
      </c>
      <c r="D136">
        <f t="shared" ca="1" si="0"/>
        <v>47</v>
      </c>
      <c r="E136" s="5" t="s">
        <v>28</v>
      </c>
      <c r="F136" t="s">
        <v>119</v>
      </c>
      <c r="G136" t="str">
        <f t="shared" si="3"/>
        <v>500.000–1.000.000</v>
      </c>
      <c r="H136" t="s">
        <v>7</v>
      </c>
      <c r="I136">
        <v>5</v>
      </c>
      <c r="J136" t="s">
        <v>8</v>
      </c>
      <c r="K136" s="5" t="s">
        <v>38</v>
      </c>
      <c r="L136" s="5" t="s">
        <v>49</v>
      </c>
      <c r="M136" s="5" t="s">
        <v>57</v>
      </c>
      <c r="N136" s="5" t="s">
        <v>58</v>
      </c>
      <c r="O136" s="5" t="s">
        <v>42</v>
      </c>
      <c r="P136" s="5" t="s">
        <v>15</v>
      </c>
      <c r="Q136" s="5" t="s">
        <v>17</v>
      </c>
      <c r="R136" s="5" t="s">
        <v>43</v>
      </c>
      <c r="S136" s="5" t="s">
        <v>21</v>
      </c>
      <c r="T136" s="6" t="s">
        <v>23</v>
      </c>
      <c r="U136" s="6">
        <v>1</v>
      </c>
      <c r="V136" s="6" t="s">
        <v>26</v>
      </c>
      <c r="W136" s="6">
        <v>1</v>
      </c>
      <c r="X136" s="6" t="s">
        <v>44</v>
      </c>
      <c r="Y136">
        <v>1</v>
      </c>
      <c r="Z136" s="5" t="s">
        <v>46</v>
      </c>
      <c r="AA136" s="5" t="s">
        <v>46</v>
      </c>
      <c r="AB136" s="5" t="s">
        <v>74</v>
      </c>
    </row>
    <row r="137" spans="1:28" x14ac:dyDescent="0.35">
      <c r="A137" s="8" t="s">
        <v>1243</v>
      </c>
      <c r="B137" s="5" t="s">
        <v>215</v>
      </c>
      <c r="C137">
        <v>1988</v>
      </c>
      <c r="D137">
        <f t="shared" ca="1" si="0"/>
        <v>37</v>
      </c>
      <c r="E137" s="5" t="s">
        <v>6</v>
      </c>
      <c r="F137" t="s">
        <v>137</v>
      </c>
      <c r="G137" t="str">
        <f t="shared" si="3"/>
        <v>500.000–1.000.000</v>
      </c>
      <c r="H137" t="s">
        <v>7</v>
      </c>
      <c r="I137">
        <v>4</v>
      </c>
      <c r="J137" t="s">
        <v>8</v>
      </c>
      <c r="K137" s="5" t="s">
        <v>38</v>
      </c>
      <c r="L137" s="5" t="s">
        <v>49</v>
      </c>
      <c r="M137" s="5" t="s">
        <v>57</v>
      </c>
      <c r="N137" s="5" t="s">
        <v>58</v>
      </c>
      <c r="O137" s="5" t="s">
        <v>42</v>
      </c>
      <c r="P137" s="5" t="s">
        <v>15</v>
      </c>
      <c r="Q137" s="5" t="s">
        <v>17</v>
      </c>
      <c r="R137" s="5" t="s">
        <v>43</v>
      </c>
      <c r="S137" s="5" t="s">
        <v>21</v>
      </c>
      <c r="T137" s="6" t="s">
        <v>23</v>
      </c>
      <c r="U137" s="6">
        <v>1</v>
      </c>
      <c r="V137" s="6" t="s">
        <v>26</v>
      </c>
      <c r="W137" s="6">
        <v>1</v>
      </c>
      <c r="X137" s="6" t="s">
        <v>44</v>
      </c>
      <c r="Y137">
        <v>2</v>
      </c>
      <c r="Z137" s="5" t="s">
        <v>46</v>
      </c>
      <c r="AA137" s="5" t="s">
        <v>46</v>
      </c>
      <c r="AB137" s="5" t="s">
        <v>46</v>
      </c>
    </row>
    <row r="138" spans="1:28" x14ac:dyDescent="0.35">
      <c r="A138" s="8" t="s">
        <v>1244</v>
      </c>
      <c r="B138" s="5" t="s">
        <v>216</v>
      </c>
      <c r="C138">
        <v>1989</v>
      </c>
      <c r="D138">
        <f t="shared" ca="1" si="0"/>
        <v>36</v>
      </c>
      <c r="E138" s="5" t="s">
        <v>28</v>
      </c>
      <c r="F138" t="s">
        <v>137</v>
      </c>
      <c r="G138" t="str">
        <f t="shared" si="3"/>
        <v>500.000–1.000.000</v>
      </c>
      <c r="H138" t="s">
        <v>7</v>
      </c>
      <c r="I138">
        <v>4</v>
      </c>
      <c r="J138" t="s">
        <v>8</v>
      </c>
      <c r="K138" s="5" t="s">
        <v>38</v>
      </c>
      <c r="L138" s="5" t="s">
        <v>49</v>
      </c>
      <c r="M138" s="5" t="s">
        <v>57</v>
      </c>
      <c r="N138" s="5" t="s">
        <v>58</v>
      </c>
      <c r="O138" s="5" t="s">
        <v>42</v>
      </c>
      <c r="P138" s="5" t="s">
        <v>15</v>
      </c>
      <c r="Q138" s="5" t="s">
        <v>17</v>
      </c>
      <c r="R138" s="5" t="s">
        <v>43</v>
      </c>
      <c r="S138" s="5" t="s">
        <v>21</v>
      </c>
      <c r="T138" s="6" t="s">
        <v>23</v>
      </c>
      <c r="U138" s="6">
        <v>1</v>
      </c>
      <c r="V138" s="6" t="s">
        <v>26</v>
      </c>
      <c r="W138" s="6">
        <v>1</v>
      </c>
      <c r="X138" s="6" t="s">
        <v>44</v>
      </c>
      <c r="Y138">
        <v>2</v>
      </c>
      <c r="Z138" s="5" t="s">
        <v>46</v>
      </c>
      <c r="AA138" s="5" t="s">
        <v>46</v>
      </c>
      <c r="AB138" s="5" t="s">
        <v>46</v>
      </c>
    </row>
    <row r="139" spans="1:28" x14ac:dyDescent="0.35">
      <c r="A139" s="8" t="s">
        <v>1245</v>
      </c>
      <c r="B139" s="5" t="s">
        <v>217</v>
      </c>
      <c r="C139">
        <v>1950</v>
      </c>
      <c r="D139">
        <f t="shared" ca="1" si="0"/>
        <v>75</v>
      </c>
      <c r="E139" s="5" t="s">
        <v>6</v>
      </c>
      <c r="F139" t="s">
        <v>55</v>
      </c>
      <c r="G139" t="str">
        <f t="shared" si="3"/>
        <v>500.000–1.000.000</v>
      </c>
      <c r="H139" t="s">
        <v>30</v>
      </c>
      <c r="I139">
        <v>1</v>
      </c>
      <c r="J139" t="s">
        <v>8</v>
      </c>
      <c r="K139" s="5" t="s">
        <v>38</v>
      </c>
      <c r="L139" s="5" t="s">
        <v>49</v>
      </c>
      <c r="M139" s="5" t="s">
        <v>57</v>
      </c>
      <c r="N139" s="5" t="s">
        <v>58</v>
      </c>
      <c r="O139" s="5" t="s">
        <v>42</v>
      </c>
      <c r="P139" s="5" t="s">
        <v>15</v>
      </c>
      <c r="Q139" s="5" t="s">
        <v>17</v>
      </c>
      <c r="R139" s="5" t="s">
        <v>43</v>
      </c>
      <c r="S139" s="5" t="s">
        <v>21</v>
      </c>
      <c r="T139" s="6" t="s">
        <v>84</v>
      </c>
      <c r="U139" s="6">
        <v>1</v>
      </c>
      <c r="V139" s="6" t="s">
        <v>117</v>
      </c>
      <c r="W139">
        <v>1</v>
      </c>
      <c r="X139" s="6" t="s">
        <v>46</v>
      </c>
      <c r="Y139">
        <v>0</v>
      </c>
      <c r="Z139" s="5" t="s">
        <v>46</v>
      </c>
      <c r="AA139" s="5" t="s">
        <v>44</v>
      </c>
      <c r="AB139" s="5" t="s">
        <v>35</v>
      </c>
    </row>
    <row r="140" spans="1:28" x14ac:dyDescent="0.35">
      <c r="A140" s="8" t="s">
        <v>1246</v>
      </c>
      <c r="B140" s="5" t="s">
        <v>218</v>
      </c>
      <c r="C140">
        <v>1945</v>
      </c>
      <c r="D140">
        <f t="shared" ca="1" si="0"/>
        <v>80</v>
      </c>
      <c r="E140" s="5" t="s">
        <v>6</v>
      </c>
      <c r="F140" t="s">
        <v>29</v>
      </c>
      <c r="G140" t="str">
        <f t="shared" si="3"/>
        <v>&lt;500.000</v>
      </c>
      <c r="H140" t="s">
        <v>63</v>
      </c>
      <c r="I140">
        <v>0</v>
      </c>
      <c r="J140" t="s">
        <v>48</v>
      </c>
      <c r="K140" s="5" t="s">
        <v>38</v>
      </c>
      <c r="L140" s="5" t="s">
        <v>49</v>
      </c>
      <c r="M140" s="5" t="s">
        <v>57</v>
      </c>
      <c r="N140" s="5" t="s">
        <v>58</v>
      </c>
      <c r="O140" s="5" t="s">
        <v>89</v>
      </c>
      <c r="P140" s="5" t="s">
        <v>15</v>
      </c>
      <c r="Q140" s="5" t="s">
        <v>17</v>
      </c>
      <c r="R140" s="5" t="s">
        <v>43</v>
      </c>
      <c r="S140" s="5" t="s">
        <v>21</v>
      </c>
      <c r="T140" s="6" t="s">
        <v>73</v>
      </c>
      <c r="U140" s="6">
        <v>0</v>
      </c>
      <c r="V140" t="s">
        <v>73</v>
      </c>
      <c r="W140">
        <v>0</v>
      </c>
      <c r="X140" t="s">
        <v>46</v>
      </c>
      <c r="Y140">
        <v>0</v>
      </c>
      <c r="Z140" t="s">
        <v>46</v>
      </c>
      <c r="AA140" t="s">
        <v>44</v>
      </c>
      <c r="AB140" t="s">
        <v>74</v>
      </c>
    </row>
    <row r="141" spans="1:28" x14ac:dyDescent="0.35">
      <c r="A141" s="8" t="s">
        <v>1247</v>
      </c>
      <c r="B141" s="5" t="s">
        <v>219</v>
      </c>
      <c r="C141">
        <v>1969</v>
      </c>
      <c r="D141">
        <f ca="1">YEAR(TODAY()) - C141</f>
        <v>56</v>
      </c>
      <c r="E141" s="5" t="s">
        <v>6</v>
      </c>
      <c r="F141" t="s">
        <v>29</v>
      </c>
      <c r="G141" t="str">
        <f t="shared" si="3"/>
        <v>&lt;500.000</v>
      </c>
      <c r="H141" t="s">
        <v>63</v>
      </c>
      <c r="I141">
        <v>2</v>
      </c>
      <c r="J141" t="s">
        <v>8</v>
      </c>
      <c r="K141" s="5" t="s">
        <v>10</v>
      </c>
      <c r="L141" s="5" t="s">
        <v>11</v>
      </c>
      <c r="M141" s="5" t="s">
        <v>40</v>
      </c>
      <c r="N141" s="5" t="s">
        <v>37</v>
      </c>
      <c r="O141" s="5" t="s">
        <v>42</v>
      </c>
      <c r="P141" s="5" t="s">
        <v>15</v>
      </c>
      <c r="Q141" s="5" t="s">
        <v>17</v>
      </c>
      <c r="R141" s="5" t="s">
        <v>43</v>
      </c>
      <c r="S141" s="5" t="s">
        <v>21</v>
      </c>
      <c r="T141" s="6" t="s">
        <v>23</v>
      </c>
      <c r="U141" s="6">
        <v>1</v>
      </c>
      <c r="V141" s="6" t="s">
        <v>26</v>
      </c>
      <c r="W141" s="6">
        <v>1</v>
      </c>
      <c r="X141" s="6" t="s">
        <v>44</v>
      </c>
      <c r="Y141">
        <v>0</v>
      </c>
      <c r="Z141" s="5" t="s">
        <v>46</v>
      </c>
      <c r="AA141" s="5" t="s">
        <v>46</v>
      </c>
      <c r="AB141" s="5" t="s">
        <v>46</v>
      </c>
    </row>
    <row r="142" spans="1:28" x14ac:dyDescent="0.35">
      <c r="A142" s="8" t="s">
        <v>1248</v>
      </c>
      <c r="B142" s="5" t="s">
        <v>220</v>
      </c>
      <c r="C142">
        <v>1952</v>
      </c>
      <c r="D142">
        <f ca="1">YEAR(TODAY()) - C142</f>
        <v>73</v>
      </c>
      <c r="E142" s="5" t="s">
        <v>6</v>
      </c>
      <c r="F142" t="s">
        <v>137</v>
      </c>
      <c r="G142" t="str">
        <f t="shared" si="3"/>
        <v>500.000–1.000.000</v>
      </c>
      <c r="H142" t="s">
        <v>30</v>
      </c>
      <c r="I142">
        <v>4</v>
      </c>
      <c r="J142" t="s">
        <v>8</v>
      </c>
      <c r="K142" s="5" t="s">
        <v>38</v>
      </c>
      <c r="L142" s="5" t="s">
        <v>11</v>
      </c>
      <c r="M142" s="5" t="s">
        <v>57</v>
      </c>
      <c r="N142" s="5" t="s">
        <v>58</v>
      </c>
      <c r="O142" s="5" t="s">
        <v>42</v>
      </c>
      <c r="P142" s="5" t="s">
        <v>15</v>
      </c>
      <c r="Q142" s="5" t="s">
        <v>17</v>
      </c>
      <c r="R142" s="5" t="s">
        <v>43</v>
      </c>
      <c r="S142" s="5" t="s">
        <v>21</v>
      </c>
      <c r="T142" s="6" t="s">
        <v>23</v>
      </c>
      <c r="U142" s="6">
        <v>1</v>
      </c>
      <c r="V142" s="6" t="s">
        <v>26</v>
      </c>
      <c r="W142" s="6">
        <v>1</v>
      </c>
      <c r="X142" s="6" t="s">
        <v>46</v>
      </c>
      <c r="Y142">
        <v>0</v>
      </c>
      <c r="Z142" s="5" t="s">
        <v>46</v>
      </c>
      <c r="AA142" s="5" t="s">
        <v>46</v>
      </c>
      <c r="AB142" s="5" t="s">
        <v>74</v>
      </c>
    </row>
    <row r="143" spans="1:28" x14ac:dyDescent="0.35">
      <c r="A143" s="8" t="s">
        <v>1249</v>
      </c>
      <c r="B143" s="5" t="s">
        <v>221</v>
      </c>
      <c r="C143">
        <v>1985</v>
      </c>
      <c r="D143">
        <f t="shared" ref="D143:D157" ca="1" si="4">YEAR(TODAY()) - C143</f>
        <v>40</v>
      </c>
      <c r="E143" s="5" t="s">
        <v>6</v>
      </c>
      <c r="F143" t="s">
        <v>54</v>
      </c>
      <c r="G143" t="str">
        <f t="shared" si="3"/>
        <v>500.000–1.000.000</v>
      </c>
      <c r="H143" t="s">
        <v>7</v>
      </c>
      <c r="I143">
        <v>3</v>
      </c>
      <c r="J143" t="s">
        <v>48</v>
      </c>
      <c r="K143" s="5" t="s">
        <v>114</v>
      </c>
      <c r="L143" s="5" t="s">
        <v>11</v>
      </c>
      <c r="M143" s="5" t="s">
        <v>57</v>
      </c>
      <c r="N143" s="5" t="s">
        <v>58</v>
      </c>
      <c r="O143" s="5" t="s">
        <v>42</v>
      </c>
      <c r="P143" s="5" t="s">
        <v>15</v>
      </c>
      <c r="Q143" s="5" t="s">
        <v>17</v>
      </c>
      <c r="R143" s="5" t="s">
        <v>43</v>
      </c>
      <c r="S143" s="5" t="s">
        <v>21</v>
      </c>
      <c r="T143" s="6" t="s">
        <v>23</v>
      </c>
      <c r="U143" s="6">
        <v>1</v>
      </c>
      <c r="V143" s="6" t="s">
        <v>76</v>
      </c>
      <c r="W143" s="6">
        <v>1</v>
      </c>
      <c r="X143" s="6" t="s">
        <v>46</v>
      </c>
      <c r="Y143">
        <v>3</v>
      </c>
      <c r="Z143" s="5" t="s">
        <v>46</v>
      </c>
      <c r="AA143" s="5" t="s">
        <v>46</v>
      </c>
      <c r="AB143" s="5" t="s">
        <v>46</v>
      </c>
    </row>
    <row r="144" spans="1:28" x14ac:dyDescent="0.35">
      <c r="A144" s="8" t="s">
        <v>1250</v>
      </c>
      <c r="B144" s="5" t="s">
        <v>222</v>
      </c>
      <c r="C144">
        <v>1965</v>
      </c>
      <c r="D144">
        <f t="shared" ca="1" si="4"/>
        <v>60</v>
      </c>
      <c r="E144" s="5" t="s">
        <v>6</v>
      </c>
      <c r="F144" t="s">
        <v>29</v>
      </c>
      <c r="G144" t="str">
        <f t="shared" si="3"/>
        <v>&lt;500.000</v>
      </c>
      <c r="H144" t="s">
        <v>30</v>
      </c>
      <c r="I144">
        <v>0</v>
      </c>
      <c r="J144" t="s">
        <v>48</v>
      </c>
      <c r="K144" s="5" t="s">
        <v>38</v>
      </c>
      <c r="L144" s="5" t="s">
        <v>11</v>
      </c>
      <c r="M144" s="5" t="s">
        <v>40</v>
      </c>
      <c r="N144" s="5" t="s">
        <v>37</v>
      </c>
      <c r="O144" s="5" t="s">
        <v>42</v>
      </c>
      <c r="P144" s="5" t="s">
        <v>15</v>
      </c>
      <c r="Q144" s="5" t="s">
        <v>17</v>
      </c>
      <c r="R144" s="5" t="s">
        <v>43</v>
      </c>
      <c r="S144" s="5" t="s">
        <v>21</v>
      </c>
      <c r="T144" s="6" t="s">
        <v>73</v>
      </c>
      <c r="U144" s="6">
        <v>0</v>
      </c>
      <c r="V144" s="6" t="s">
        <v>73</v>
      </c>
      <c r="W144" s="6">
        <v>0</v>
      </c>
      <c r="X144" s="6" t="s">
        <v>46</v>
      </c>
      <c r="Y144">
        <v>0</v>
      </c>
      <c r="Z144" s="5" t="s">
        <v>46</v>
      </c>
      <c r="AA144" s="5" t="s">
        <v>44</v>
      </c>
      <c r="AB144" s="5" t="s">
        <v>46</v>
      </c>
    </row>
    <row r="145" spans="1:28" x14ac:dyDescent="0.35">
      <c r="A145" s="8" t="s">
        <v>1251</v>
      </c>
      <c r="B145" s="5" t="s">
        <v>223</v>
      </c>
      <c r="C145">
        <v>1955</v>
      </c>
      <c r="D145">
        <f t="shared" ca="1" si="4"/>
        <v>70</v>
      </c>
      <c r="E145" s="5" t="s">
        <v>6</v>
      </c>
      <c r="F145" t="s">
        <v>29</v>
      </c>
      <c r="G145" t="str">
        <f t="shared" si="3"/>
        <v>&lt;500.000</v>
      </c>
      <c r="H145" t="s">
        <v>63</v>
      </c>
      <c r="I145">
        <v>2</v>
      </c>
      <c r="J145" t="s">
        <v>8</v>
      </c>
      <c r="K145" s="5" t="s">
        <v>38</v>
      </c>
      <c r="L145" s="5" t="s">
        <v>11</v>
      </c>
      <c r="M145" s="5" t="s">
        <v>57</v>
      </c>
      <c r="N145" s="5" t="s">
        <v>58</v>
      </c>
      <c r="O145" s="5" t="s">
        <v>42</v>
      </c>
      <c r="P145" s="5" t="s">
        <v>15</v>
      </c>
      <c r="Q145" s="5" t="s">
        <v>17</v>
      </c>
      <c r="R145" s="5" t="s">
        <v>43</v>
      </c>
      <c r="S145" s="5" t="s">
        <v>21</v>
      </c>
      <c r="T145" s="6" t="s">
        <v>23</v>
      </c>
      <c r="U145" s="6">
        <v>1</v>
      </c>
      <c r="V145" s="6" t="s">
        <v>76</v>
      </c>
      <c r="W145" s="6">
        <v>1</v>
      </c>
      <c r="X145" s="6" t="s">
        <v>46</v>
      </c>
      <c r="Y145">
        <v>0</v>
      </c>
      <c r="Z145" s="5" t="s">
        <v>46</v>
      </c>
      <c r="AA145" s="5" t="s">
        <v>44</v>
      </c>
      <c r="AB145" s="5" t="s">
        <v>46</v>
      </c>
    </row>
    <row r="146" spans="1:28" x14ac:dyDescent="0.35">
      <c r="A146" s="8" t="s">
        <v>1252</v>
      </c>
      <c r="B146" s="5" t="s">
        <v>224</v>
      </c>
      <c r="C146">
        <v>1987</v>
      </c>
      <c r="D146">
        <f t="shared" ca="1" si="4"/>
        <v>38</v>
      </c>
      <c r="E146" s="5" t="s">
        <v>6</v>
      </c>
      <c r="F146" t="s">
        <v>54</v>
      </c>
      <c r="G146" t="str">
        <f t="shared" si="3"/>
        <v>500.000–1.000.000</v>
      </c>
      <c r="H146" t="s">
        <v>7</v>
      </c>
      <c r="I146">
        <v>3</v>
      </c>
      <c r="J146" t="s">
        <v>8</v>
      </c>
      <c r="K146" s="5" t="s">
        <v>38</v>
      </c>
      <c r="L146" s="5" t="s">
        <v>11</v>
      </c>
      <c r="M146" s="5" t="s">
        <v>40</v>
      </c>
      <c r="N146" s="5" t="s">
        <v>37</v>
      </c>
      <c r="O146" s="5" t="s">
        <v>42</v>
      </c>
      <c r="P146" s="5" t="s">
        <v>15</v>
      </c>
      <c r="Q146" s="5" t="s">
        <v>17</v>
      </c>
      <c r="R146" s="5" t="s">
        <v>43</v>
      </c>
      <c r="S146" s="5" t="s">
        <v>21</v>
      </c>
      <c r="T146" s="6" t="s">
        <v>23</v>
      </c>
      <c r="U146" s="6">
        <v>1</v>
      </c>
      <c r="V146" s="6" t="s">
        <v>26</v>
      </c>
      <c r="W146" s="6">
        <v>1</v>
      </c>
      <c r="X146" s="6" t="s">
        <v>60</v>
      </c>
      <c r="Y146">
        <v>2</v>
      </c>
      <c r="Z146" s="5" t="s">
        <v>44</v>
      </c>
      <c r="AA146" s="5" t="s">
        <v>46</v>
      </c>
      <c r="AB146" s="5" t="s">
        <v>74</v>
      </c>
    </row>
    <row r="147" spans="1:28" x14ac:dyDescent="0.35">
      <c r="A147" s="8" t="s">
        <v>1253</v>
      </c>
      <c r="B147" s="5" t="s">
        <v>225</v>
      </c>
      <c r="C147">
        <v>1991</v>
      </c>
      <c r="D147">
        <f t="shared" ca="1" si="4"/>
        <v>34</v>
      </c>
      <c r="E147" s="5" t="s">
        <v>28</v>
      </c>
      <c r="F147" t="s">
        <v>162</v>
      </c>
      <c r="G147" t="str">
        <f t="shared" si="3"/>
        <v>1.000.000–2.000.000</v>
      </c>
      <c r="H147" t="s">
        <v>7</v>
      </c>
      <c r="I147">
        <v>3</v>
      </c>
      <c r="J147" t="s">
        <v>8</v>
      </c>
      <c r="K147" s="5" t="s">
        <v>38</v>
      </c>
      <c r="L147" s="5" t="s">
        <v>11</v>
      </c>
      <c r="M147" s="5" t="s">
        <v>40</v>
      </c>
      <c r="N147" s="5" t="s">
        <v>37</v>
      </c>
      <c r="O147" s="5" t="s">
        <v>42</v>
      </c>
      <c r="P147" s="5" t="s">
        <v>15</v>
      </c>
      <c r="Q147" s="5" t="s">
        <v>17</v>
      </c>
      <c r="R147" s="5" t="s">
        <v>43</v>
      </c>
      <c r="S147" s="5" t="s">
        <v>21</v>
      </c>
      <c r="T147" s="6" t="s">
        <v>23</v>
      </c>
      <c r="U147" s="6">
        <v>1</v>
      </c>
      <c r="V147" s="6" t="s">
        <v>26</v>
      </c>
      <c r="W147" s="6">
        <v>1</v>
      </c>
      <c r="X147" s="6" t="s">
        <v>60</v>
      </c>
      <c r="Y147">
        <v>2</v>
      </c>
      <c r="Z147" s="5" t="s">
        <v>44</v>
      </c>
      <c r="AA147" s="5" t="s">
        <v>46</v>
      </c>
      <c r="AB147" s="5" t="s">
        <v>74</v>
      </c>
    </row>
    <row r="148" spans="1:28" x14ac:dyDescent="0.35">
      <c r="A148" s="8" t="s">
        <v>1254</v>
      </c>
      <c r="B148" s="5" t="s">
        <v>226</v>
      </c>
      <c r="C148">
        <v>1977</v>
      </c>
      <c r="D148">
        <f t="shared" ca="1" si="4"/>
        <v>48</v>
      </c>
      <c r="E148" s="5" t="s">
        <v>6</v>
      </c>
      <c r="F148" t="s">
        <v>29</v>
      </c>
      <c r="G148" t="str">
        <f t="shared" si="3"/>
        <v>500.000–1.000.000</v>
      </c>
      <c r="H148" t="s">
        <v>7</v>
      </c>
      <c r="I148">
        <v>3</v>
      </c>
      <c r="J148" t="s">
        <v>48</v>
      </c>
      <c r="K148" s="5" t="s">
        <v>38</v>
      </c>
      <c r="L148" s="5" t="s">
        <v>49</v>
      </c>
      <c r="M148" s="5" t="s">
        <v>57</v>
      </c>
      <c r="N148" s="5" t="s">
        <v>58</v>
      </c>
      <c r="O148" s="5" t="s">
        <v>42</v>
      </c>
      <c r="P148" s="5" t="s">
        <v>15</v>
      </c>
      <c r="Q148" s="5" t="s">
        <v>17</v>
      </c>
      <c r="R148" s="5" t="s">
        <v>43</v>
      </c>
      <c r="S148" s="5" t="s">
        <v>21</v>
      </c>
      <c r="T148" s="6" t="s">
        <v>23</v>
      </c>
      <c r="U148" s="6">
        <v>1</v>
      </c>
      <c r="V148" s="6" t="s">
        <v>76</v>
      </c>
      <c r="W148" s="6">
        <v>1</v>
      </c>
      <c r="X148" s="6" t="s">
        <v>46</v>
      </c>
      <c r="Y148">
        <v>2</v>
      </c>
      <c r="Z148" s="5" t="s">
        <v>46</v>
      </c>
      <c r="AA148" s="5" t="s">
        <v>46</v>
      </c>
      <c r="AB148" s="5" t="s">
        <v>46</v>
      </c>
    </row>
    <row r="149" spans="1:28" x14ac:dyDescent="0.35">
      <c r="A149" s="8" t="s">
        <v>1255</v>
      </c>
      <c r="B149" s="5" t="s">
        <v>227</v>
      </c>
      <c r="C149">
        <v>1992</v>
      </c>
      <c r="D149">
        <f t="shared" ca="1" si="4"/>
        <v>33</v>
      </c>
      <c r="E149" s="5" t="s">
        <v>6</v>
      </c>
      <c r="F149" t="s">
        <v>54</v>
      </c>
      <c r="G149" t="str">
        <f t="shared" si="3"/>
        <v>1.000.000–2.000.000</v>
      </c>
      <c r="H149" t="s">
        <v>139</v>
      </c>
      <c r="I149">
        <v>4</v>
      </c>
      <c r="J149" t="s">
        <v>48</v>
      </c>
      <c r="K149" s="5" t="s">
        <v>38</v>
      </c>
      <c r="L149" s="5" t="s">
        <v>11</v>
      </c>
      <c r="M149" s="5" t="s">
        <v>57</v>
      </c>
      <c r="N149" s="5" t="s">
        <v>58</v>
      </c>
      <c r="O149" s="5" t="s">
        <v>42</v>
      </c>
      <c r="P149" s="5" t="s">
        <v>15</v>
      </c>
      <c r="Q149" s="5" t="s">
        <v>17</v>
      </c>
      <c r="R149" s="5" t="s">
        <v>43</v>
      </c>
      <c r="S149" s="5" t="s">
        <v>21</v>
      </c>
      <c r="T149" s="6" t="s">
        <v>23</v>
      </c>
      <c r="U149" s="6">
        <v>1</v>
      </c>
      <c r="V149" s="6" t="s">
        <v>76</v>
      </c>
      <c r="W149" s="6">
        <v>1</v>
      </c>
      <c r="X149" s="6" t="s">
        <v>46</v>
      </c>
      <c r="Y149">
        <v>2</v>
      </c>
      <c r="Z149" s="5" t="s">
        <v>64</v>
      </c>
      <c r="AA149" s="5" t="s">
        <v>46</v>
      </c>
      <c r="AB149" s="5" t="s">
        <v>46</v>
      </c>
    </row>
    <row r="150" spans="1:28" x14ac:dyDescent="0.35">
      <c r="A150" s="8" t="s">
        <v>1256</v>
      </c>
      <c r="B150" s="5" t="s">
        <v>228</v>
      </c>
      <c r="C150">
        <v>1995</v>
      </c>
      <c r="D150">
        <f t="shared" ca="1" si="4"/>
        <v>30</v>
      </c>
      <c r="E150" s="5" t="s">
        <v>28</v>
      </c>
      <c r="F150" t="s">
        <v>29</v>
      </c>
      <c r="G150" t="str">
        <f t="shared" si="3"/>
        <v>500.000–1.000.000</v>
      </c>
      <c r="H150" t="s">
        <v>139</v>
      </c>
      <c r="I150">
        <v>4</v>
      </c>
      <c r="J150" t="s">
        <v>48</v>
      </c>
      <c r="K150" s="5" t="s">
        <v>38</v>
      </c>
      <c r="L150" s="5" t="s">
        <v>11</v>
      </c>
      <c r="M150" s="5" t="s">
        <v>57</v>
      </c>
      <c r="N150" s="5" t="s">
        <v>58</v>
      </c>
      <c r="O150" s="5" t="s">
        <v>42</v>
      </c>
      <c r="P150" s="5" t="s">
        <v>15</v>
      </c>
      <c r="Q150" s="5" t="s">
        <v>17</v>
      </c>
      <c r="R150" s="5" t="s">
        <v>43</v>
      </c>
      <c r="S150" s="5" t="s">
        <v>21</v>
      </c>
      <c r="T150" s="6" t="s">
        <v>23</v>
      </c>
      <c r="U150" s="6">
        <v>1</v>
      </c>
      <c r="V150" s="6" t="s">
        <v>76</v>
      </c>
      <c r="W150" s="6">
        <v>1</v>
      </c>
      <c r="X150" s="6" t="s">
        <v>46</v>
      </c>
      <c r="Y150">
        <v>2</v>
      </c>
      <c r="Z150" s="5" t="s">
        <v>64</v>
      </c>
      <c r="AA150" s="5" t="s">
        <v>46</v>
      </c>
      <c r="AB150" s="5" t="s">
        <v>46</v>
      </c>
    </row>
    <row r="151" spans="1:28" x14ac:dyDescent="0.35">
      <c r="A151" s="8" t="s">
        <v>1257</v>
      </c>
      <c r="B151" s="5" t="s">
        <v>229</v>
      </c>
      <c r="C151">
        <v>1976</v>
      </c>
      <c r="D151">
        <f t="shared" ca="1" si="4"/>
        <v>49</v>
      </c>
      <c r="E151" s="5" t="s">
        <v>6</v>
      </c>
      <c r="F151" t="s">
        <v>54</v>
      </c>
      <c r="G151" t="str">
        <f t="shared" si="3"/>
        <v>500.000–1.000.000</v>
      </c>
      <c r="H151" t="s">
        <v>30</v>
      </c>
      <c r="I151">
        <v>3</v>
      </c>
      <c r="J151" t="s">
        <v>48</v>
      </c>
      <c r="K151" s="5" t="s">
        <v>114</v>
      </c>
      <c r="L151" s="5" t="s">
        <v>11</v>
      </c>
      <c r="M151" s="5" t="s">
        <v>57</v>
      </c>
      <c r="N151" s="5" t="s">
        <v>58</v>
      </c>
      <c r="O151" s="5" t="s">
        <v>42</v>
      </c>
      <c r="P151" s="5" t="s">
        <v>15</v>
      </c>
      <c r="Q151" s="5" t="s">
        <v>17</v>
      </c>
      <c r="R151" s="5" t="s">
        <v>43</v>
      </c>
      <c r="S151" s="5" t="s">
        <v>21</v>
      </c>
      <c r="T151" s="6" t="s">
        <v>84</v>
      </c>
      <c r="U151" s="6">
        <v>1</v>
      </c>
      <c r="V151" s="6" t="s">
        <v>76</v>
      </c>
      <c r="W151" s="6">
        <v>1</v>
      </c>
      <c r="X151" s="6" t="s">
        <v>46</v>
      </c>
      <c r="Y151">
        <v>2</v>
      </c>
      <c r="Z151" s="5" t="s">
        <v>46</v>
      </c>
      <c r="AA151" s="5" t="s">
        <v>46</v>
      </c>
      <c r="AB151" s="5" t="s">
        <v>46</v>
      </c>
    </row>
    <row r="152" spans="1:28" x14ac:dyDescent="0.35">
      <c r="A152" s="8" t="s">
        <v>1258</v>
      </c>
      <c r="B152" s="5" t="s">
        <v>230</v>
      </c>
      <c r="C152">
        <v>1983</v>
      </c>
      <c r="D152">
        <f t="shared" ca="1" si="4"/>
        <v>42</v>
      </c>
      <c r="E152" s="5" t="s">
        <v>28</v>
      </c>
      <c r="F152" t="s">
        <v>29</v>
      </c>
      <c r="G152" t="str">
        <f t="shared" si="3"/>
        <v>500.000–1.000.000</v>
      </c>
      <c r="H152" t="s">
        <v>139</v>
      </c>
      <c r="I152">
        <v>3</v>
      </c>
      <c r="J152" t="s">
        <v>48</v>
      </c>
      <c r="K152" s="5" t="s">
        <v>114</v>
      </c>
      <c r="L152" s="5" t="s">
        <v>11</v>
      </c>
      <c r="M152" s="5" t="s">
        <v>57</v>
      </c>
      <c r="N152" s="5" t="s">
        <v>58</v>
      </c>
      <c r="O152" s="5" t="s">
        <v>42</v>
      </c>
      <c r="P152" s="5" t="s">
        <v>15</v>
      </c>
      <c r="Q152" s="5" t="s">
        <v>17</v>
      </c>
      <c r="R152" s="5" t="s">
        <v>43</v>
      </c>
      <c r="S152" s="5" t="s">
        <v>21</v>
      </c>
      <c r="T152" s="6" t="s">
        <v>84</v>
      </c>
      <c r="U152" s="6">
        <v>1</v>
      </c>
      <c r="V152" s="6" t="s">
        <v>76</v>
      </c>
      <c r="W152" s="6">
        <v>1</v>
      </c>
      <c r="X152" s="6" t="s">
        <v>46</v>
      </c>
      <c r="Y152">
        <v>2</v>
      </c>
      <c r="Z152" s="5" t="s">
        <v>46</v>
      </c>
      <c r="AA152" s="5" t="s">
        <v>46</v>
      </c>
      <c r="AB152" s="5" t="s">
        <v>46</v>
      </c>
    </row>
    <row r="153" spans="1:28" x14ac:dyDescent="0.35">
      <c r="A153" s="8" t="s">
        <v>1259</v>
      </c>
      <c r="B153" s="5" t="s">
        <v>231</v>
      </c>
      <c r="C153">
        <v>1960</v>
      </c>
      <c r="D153">
        <f t="shared" ca="1" si="4"/>
        <v>65</v>
      </c>
      <c r="E153" s="5" t="s">
        <v>6</v>
      </c>
      <c r="F153" t="s">
        <v>55</v>
      </c>
      <c r="G153" t="str">
        <f t="shared" si="3"/>
        <v>1.000.000–2.000.000</v>
      </c>
      <c r="H153" t="s">
        <v>63</v>
      </c>
      <c r="I153">
        <v>1</v>
      </c>
      <c r="J153" t="s">
        <v>8</v>
      </c>
      <c r="K153" s="5" t="s">
        <v>38</v>
      </c>
      <c r="L153" s="5" t="s">
        <v>11</v>
      </c>
      <c r="M153" s="5" t="s">
        <v>57</v>
      </c>
      <c r="N153" s="5" t="s">
        <v>58</v>
      </c>
      <c r="O153" s="5" t="s">
        <v>89</v>
      </c>
      <c r="P153" s="5" t="s">
        <v>15</v>
      </c>
      <c r="Q153" s="5" t="s">
        <v>17</v>
      </c>
      <c r="R153" s="5" t="s">
        <v>43</v>
      </c>
      <c r="S153" s="5" t="s">
        <v>21</v>
      </c>
      <c r="T153" s="6" t="s">
        <v>23</v>
      </c>
      <c r="U153" s="6">
        <v>1</v>
      </c>
      <c r="V153" s="6" t="s">
        <v>26</v>
      </c>
      <c r="W153" s="6">
        <v>1</v>
      </c>
      <c r="X153" s="6" t="s">
        <v>46</v>
      </c>
      <c r="Y153">
        <v>0</v>
      </c>
      <c r="Z153" s="5" t="s">
        <v>46</v>
      </c>
      <c r="AA153" s="5" t="s">
        <v>44</v>
      </c>
      <c r="AB153" s="5" t="s">
        <v>35</v>
      </c>
    </row>
    <row r="154" spans="1:28" x14ac:dyDescent="0.35">
      <c r="A154" s="8" t="s">
        <v>1260</v>
      </c>
      <c r="B154" s="5" t="s">
        <v>232</v>
      </c>
      <c r="C154">
        <v>1976</v>
      </c>
      <c r="D154">
        <f t="shared" ca="1" si="4"/>
        <v>49</v>
      </c>
      <c r="E154" s="5" t="s">
        <v>6</v>
      </c>
      <c r="F154" t="s">
        <v>29</v>
      </c>
      <c r="G154" t="str">
        <f t="shared" si="3"/>
        <v>&lt;500.000</v>
      </c>
      <c r="H154" t="s">
        <v>30</v>
      </c>
      <c r="I154">
        <v>2</v>
      </c>
      <c r="J154" t="s">
        <v>8</v>
      </c>
      <c r="K154" s="5" t="s">
        <v>38</v>
      </c>
      <c r="L154" s="5" t="s">
        <v>49</v>
      </c>
      <c r="M154" s="5" t="s">
        <v>57</v>
      </c>
      <c r="N154" s="5" t="s">
        <v>58</v>
      </c>
      <c r="O154" s="5" t="s">
        <v>42</v>
      </c>
      <c r="P154" s="5" t="s">
        <v>15</v>
      </c>
      <c r="Q154" s="5" t="s">
        <v>17</v>
      </c>
      <c r="R154" s="5" t="s">
        <v>43</v>
      </c>
      <c r="S154" s="5" t="s">
        <v>21</v>
      </c>
      <c r="T154" s="6" t="s">
        <v>23</v>
      </c>
      <c r="U154" s="6">
        <v>1</v>
      </c>
      <c r="V154" s="6" t="s">
        <v>76</v>
      </c>
      <c r="W154" s="6">
        <v>1</v>
      </c>
      <c r="X154" s="6" t="s">
        <v>44</v>
      </c>
      <c r="Y154">
        <v>2</v>
      </c>
      <c r="Z154" s="5" t="s">
        <v>46</v>
      </c>
      <c r="AA154" s="5" t="s">
        <v>46</v>
      </c>
      <c r="AB154" s="5" t="s">
        <v>35</v>
      </c>
    </row>
    <row r="155" spans="1:28" x14ac:dyDescent="0.35">
      <c r="A155" s="8" t="s">
        <v>1261</v>
      </c>
      <c r="B155" s="5" t="s">
        <v>233</v>
      </c>
      <c r="C155">
        <v>1982</v>
      </c>
      <c r="D155">
        <f t="shared" ca="1" si="4"/>
        <v>43</v>
      </c>
      <c r="E155" s="5" t="s">
        <v>28</v>
      </c>
      <c r="F155" t="s">
        <v>137</v>
      </c>
      <c r="G155" t="str">
        <f t="shared" si="3"/>
        <v>500.000–1.000.000</v>
      </c>
      <c r="H155" t="s">
        <v>30</v>
      </c>
      <c r="I155">
        <v>2</v>
      </c>
      <c r="J155" t="s">
        <v>8</v>
      </c>
      <c r="K155" s="5" t="s">
        <v>38</v>
      </c>
      <c r="L155" s="5" t="s">
        <v>49</v>
      </c>
      <c r="M155" s="5" t="s">
        <v>57</v>
      </c>
      <c r="N155" s="5" t="s">
        <v>58</v>
      </c>
      <c r="O155" s="5" t="s">
        <v>42</v>
      </c>
      <c r="P155" s="5" t="s">
        <v>15</v>
      </c>
      <c r="Q155" s="5" t="s">
        <v>17</v>
      </c>
      <c r="R155" s="5" t="s">
        <v>43</v>
      </c>
      <c r="S155" s="5" t="s">
        <v>21</v>
      </c>
      <c r="T155" s="6" t="s">
        <v>23</v>
      </c>
      <c r="U155" s="6">
        <v>1</v>
      </c>
      <c r="V155" s="6" t="s">
        <v>76</v>
      </c>
      <c r="W155" s="6">
        <v>1</v>
      </c>
      <c r="X155" s="6" t="s">
        <v>44</v>
      </c>
      <c r="Y155">
        <v>2</v>
      </c>
      <c r="Z155" s="5" t="s">
        <v>46</v>
      </c>
      <c r="AA155" s="5" t="s">
        <v>46</v>
      </c>
      <c r="AB155" s="5" t="s">
        <v>35</v>
      </c>
    </row>
    <row r="156" spans="1:28" x14ac:dyDescent="0.35">
      <c r="A156" s="8" t="s">
        <v>1262</v>
      </c>
      <c r="B156" s="5" t="s">
        <v>234</v>
      </c>
      <c r="C156">
        <v>1958</v>
      </c>
      <c r="D156">
        <f t="shared" ca="1" si="4"/>
        <v>67</v>
      </c>
      <c r="E156" s="5" t="s">
        <v>6</v>
      </c>
      <c r="F156" t="s">
        <v>29</v>
      </c>
      <c r="G156" t="str">
        <f t="shared" si="3"/>
        <v>&lt;500.000</v>
      </c>
      <c r="H156" t="s">
        <v>63</v>
      </c>
      <c r="I156">
        <v>1</v>
      </c>
      <c r="J156" t="s">
        <v>48</v>
      </c>
      <c r="K156" s="5" t="s">
        <v>38</v>
      </c>
      <c r="L156" s="5" t="s">
        <v>49</v>
      </c>
      <c r="M156" s="5" t="s">
        <v>57</v>
      </c>
      <c r="N156" s="5" t="s">
        <v>58</v>
      </c>
      <c r="O156" s="5" t="s">
        <v>89</v>
      </c>
      <c r="P156" s="5" t="s">
        <v>15</v>
      </c>
      <c r="Q156" s="5" t="s">
        <v>17</v>
      </c>
      <c r="R156" s="5" t="s">
        <v>43</v>
      </c>
      <c r="S156" s="5" t="s">
        <v>21</v>
      </c>
      <c r="T156" s="6" t="s">
        <v>73</v>
      </c>
      <c r="U156" s="6">
        <v>0</v>
      </c>
      <c r="V156" s="6" t="s">
        <v>73</v>
      </c>
      <c r="W156" s="6">
        <v>0</v>
      </c>
      <c r="X156" s="6" t="s">
        <v>46</v>
      </c>
      <c r="Y156">
        <v>0</v>
      </c>
      <c r="Z156" s="5" t="s">
        <v>46</v>
      </c>
      <c r="AA156" s="5" t="s">
        <v>44</v>
      </c>
      <c r="AB156" s="5" t="s">
        <v>46</v>
      </c>
    </row>
    <row r="157" spans="1:28" x14ac:dyDescent="0.35">
      <c r="A157" s="8" t="s">
        <v>1263</v>
      </c>
      <c r="B157" s="5" t="s">
        <v>235</v>
      </c>
      <c r="C157">
        <v>1977</v>
      </c>
      <c r="D157">
        <f t="shared" ca="1" si="4"/>
        <v>48</v>
      </c>
      <c r="E157" s="5" t="s">
        <v>6</v>
      </c>
      <c r="F157" t="s">
        <v>29</v>
      </c>
      <c r="G157" t="str">
        <f t="shared" si="3"/>
        <v>500.000–1.000.000</v>
      </c>
      <c r="H157" t="s">
        <v>139</v>
      </c>
      <c r="I157">
        <v>1</v>
      </c>
      <c r="J157" t="s">
        <v>72</v>
      </c>
      <c r="K157" s="5" t="s">
        <v>38</v>
      </c>
      <c r="L157" s="5" t="s">
        <v>49</v>
      </c>
      <c r="M157" s="5" t="s">
        <v>57</v>
      </c>
      <c r="N157" s="5" t="s">
        <v>58</v>
      </c>
      <c r="O157" s="5" t="s">
        <v>42</v>
      </c>
      <c r="P157" s="5" t="s">
        <v>15</v>
      </c>
      <c r="Q157" s="5" t="s">
        <v>17</v>
      </c>
      <c r="R157" s="5" t="s">
        <v>43</v>
      </c>
      <c r="S157" s="5" t="s">
        <v>21</v>
      </c>
      <c r="T157" s="6" t="s">
        <v>23</v>
      </c>
      <c r="U157" s="6">
        <v>1</v>
      </c>
      <c r="V157" s="6" t="s">
        <v>73</v>
      </c>
      <c r="W157" s="6">
        <v>0</v>
      </c>
      <c r="X157" s="6" t="s">
        <v>46</v>
      </c>
      <c r="Y157">
        <v>0</v>
      </c>
      <c r="Z157" s="5" t="s">
        <v>46</v>
      </c>
      <c r="AA157" s="5" t="s">
        <v>46</v>
      </c>
      <c r="AB157" s="5" t="s">
        <v>35</v>
      </c>
    </row>
    <row r="158" spans="1:28" x14ac:dyDescent="0.35">
      <c r="A158" s="8" t="s">
        <v>1264</v>
      </c>
      <c r="B158" s="5" t="s">
        <v>236</v>
      </c>
      <c r="C158">
        <v>1989</v>
      </c>
      <c r="D158">
        <f t="shared" ref="D158:D221" ca="1" si="5">YEAR(TODAY()) - C158</f>
        <v>36</v>
      </c>
      <c r="E158" s="5" t="s">
        <v>6</v>
      </c>
      <c r="F158" t="s">
        <v>137</v>
      </c>
      <c r="G158" t="str">
        <f t="shared" si="3"/>
        <v>500.000–1.000.000</v>
      </c>
      <c r="H158" t="s">
        <v>7</v>
      </c>
      <c r="I158">
        <v>2</v>
      </c>
      <c r="J158" t="s">
        <v>8</v>
      </c>
      <c r="K158" s="5" t="s">
        <v>38</v>
      </c>
      <c r="L158" s="5" t="s">
        <v>11</v>
      </c>
      <c r="M158" s="5" t="s">
        <v>57</v>
      </c>
      <c r="N158" s="5" t="s">
        <v>58</v>
      </c>
      <c r="O158" s="5" t="s">
        <v>42</v>
      </c>
      <c r="P158" s="5" t="s">
        <v>15</v>
      </c>
      <c r="Q158" s="5" t="s">
        <v>17</v>
      </c>
      <c r="R158" s="5" t="s">
        <v>43</v>
      </c>
      <c r="S158" s="5" t="s">
        <v>21</v>
      </c>
      <c r="T158" s="6" t="s">
        <v>23</v>
      </c>
      <c r="U158" s="6">
        <v>1</v>
      </c>
      <c r="V158" s="6" t="s">
        <v>26</v>
      </c>
      <c r="W158" s="6">
        <v>1</v>
      </c>
      <c r="X158" s="6" t="s">
        <v>46</v>
      </c>
      <c r="Y158">
        <v>2</v>
      </c>
      <c r="Z158" s="5" t="s">
        <v>46</v>
      </c>
      <c r="AA158" s="5" t="s">
        <v>46</v>
      </c>
      <c r="AB158" s="5" t="s">
        <v>74</v>
      </c>
    </row>
    <row r="159" spans="1:28" x14ac:dyDescent="0.35">
      <c r="A159" s="8" t="s">
        <v>1265</v>
      </c>
      <c r="B159" s="5" t="s">
        <v>237</v>
      </c>
      <c r="C159">
        <v>1991</v>
      </c>
      <c r="D159">
        <f t="shared" ca="1" si="5"/>
        <v>34</v>
      </c>
      <c r="E159" s="5" t="s">
        <v>28</v>
      </c>
      <c r="F159" t="s">
        <v>29</v>
      </c>
      <c r="G159" t="str">
        <f t="shared" si="3"/>
        <v>&lt;500.000</v>
      </c>
      <c r="H159" t="s">
        <v>63</v>
      </c>
      <c r="I159">
        <v>2</v>
      </c>
      <c r="J159" t="s">
        <v>8</v>
      </c>
      <c r="K159" s="5" t="s">
        <v>38</v>
      </c>
      <c r="L159" s="5" t="s">
        <v>11</v>
      </c>
      <c r="M159" s="5" t="s">
        <v>57</v>
      </c>
      <c r="N159" s="5" t="s">
        <v>58</v>
      </c>
      <c r="O159" s="5" t="s">
        <v>42</v>
      </c>
      <c r="P159" s="5" t="s">
        <v>15</v>
      </c>
      <c r="Q159" s="5" t="s">
        <v>17</v>
      </c>
      <c r="R159" s="5" t="s">
        <v>43</v>
      </c>
      <c r="S159" s="5" t="s">
        <v>21</v>
      </c>
      <c r="T159" s="6" t="s">
        <v>23</v>
      </c>
      <c r="U159" s="6">
        <v>1</v>
      </c>
      <c r="V159" s="6" t="s">
        <v>26</v>
      </c>
      <c r="W159" s="6">
        <v>1</v>
      </c>
      <c r="X159" s="6" t="s">
        <v>46</v>
      </c>
      <c r="Y159">
        <v>2</v>
      </c>
      <c r="Z159" s="5" t="s">
        <v>46</v>
      </c>
      <c r="AA159" s="5" t="s">
        <v>46</v>
      </c>
      <c r="AB159" s="5" t="s">
        <v>74</v>
      </c>
    </row>
    <row r="160" spans="1:28" x14ac:dyDescent="0.35">
      <c r="A160" s="8" t="s">
        <v>1266</v>
      </c>
      <c r="B160" s="5" t="s">
        <v>238</v>
      </c>
      <c r="C160">
        <v>1982</v>
      </c>
      <c r="D160">
        <f t="shared" ca="1" si="5"/>
        <v>43</v>
      </c>
      <c r="E160" s="5" t="s">
        <v>6</v>
      </c>
      <c r="F160" t="s">
        <v>137</v>
      </c>
      <c r="G160" t="str">
        <f t="shared" si="3"/>
        <v>500.000–1.000.000</v>
      </c>
      <c r="H160" t="s">
        <v>7</v>
      </c>
      <c r="I160">
        <v>2</v>
      </c>
      <c r="J160" t="s">
        <v>8</v>
      </c>
      <c r="K160" s="5" t="s">
        <v>38</v>
      </c>
      <c r="L160" s="5" t="s">
        <v>11</v>
      </c>
      <c r="M160" s="5" t="s">
        <v>40</v>
      </c>
      <c r="N160" s="5" t="s">
        <v>37</v>
      </c>
      <c r="O160" s="5" t="s">
        <v>42</v>
      </c>
      <c r="P160" s="5" t="s">
        <v>15</v>
      </c>
      <c r="Q160" s="5" t="s">
        <v>17</v>
      </c>
      <c r="R160" s="5" t="s">
        <v>43</v>
      </c>
      <c r="S160" s="5" t="s">
        <v>21</v>
      </c>
      <c r="T160" s="6" t="s">
        <v>23</v>
      </c>
      <c r="U160" s="6">
        <v>1</v>
      </c>
      <c r="V160" s="6" t="s">
        <v>76</v>
      </c>
      <c r="W160" s="6">
        <v>1</v>
      </c>
      <c r="X160" s="6" t="s">
        <v>60</v>
      </c>
      <c r="Y160">
        <v>1</v>
      </c>
      <c r="Z160" s="5" t="s">
        <v>44</v>
      </c>
      <c r="AA160" s="5" t="s">
        <v>46</v>
      </c>
      <c r="AB160" s="5" t="s">
        <v>46</v>
      </c>
    </row>
    <row r="161" spans="1:28" x14ac:dyDescent="0.35">
      <c r="A161" s="8" t="s">
        <v>1267</v>
      </c>
      <c r="B161" s="5" t="s">
        <v>239</v>
      </c>
      <c r="C161">
        <v>1997</v>
      </c>
      <c r="D161">
        <f t="shared" ca="1" si="5"/>
        <v>28</v>
      </c>
      <c r="E161" s="5" t="s">
        <v>28</v>
      </c>
      <c r="F161" t="s">
        <v>29</v>
      </c>
      <c r="G161" t="str">
        <f t="shared" si="3"/>
        <v>500.000–1.000.000</v>
      </c>
      <c r="H161" t="s">
        <v>139</v>
      </c>
      <c r="I161">
        <v>2</v>
      </c>
      <c r="J161" t="s">
        <v>8</v>
      </c>
      <c r="K161" s="5" t="s">
        <v>38</v>
      </c>
      <c r="L161" s="5" t="s">
        <v>11</v>
      </c>
      <c r="M161" s="5" t="s">
        <v>40</v>
      </c>
      <c r="N161" s="5" t="s">
        <v>37</v>
      </c>
      <c r="O161" s="5" t="s">
        <v>42</v>
      </c>
      <c r="P161" s="5" t="s">
        <v>15</v>
      </c>
      <c r="Q161" s="5" t="s">
        <v>17</v>
      </c>
      <c r="R161" s="5" t="s">
        <v>43</v>
      </c>
      <c r="S161" s="5" t="s">
        <v>21</v>
      </c>
      <c r="T161" s="6" t="s">
        <v>23</v>
      </c>
      <c r="U161" s="6">
        <v>1</v>
      </c>
      <c r="V161" s="6" t="s">
        <v>76</v>
      </c>
      <c r="W161" s="6">
        <v>1</v>
      </c>
      <c r="X161" s="6" t="s">
        <v>60</v>
      </c>
      <c r="Y161">
        <v>1</v>
      </c>
      <c r="Z161" s="5" t="s">
        <v>44</v>
      </c>
      <c r="AA161" s="5" t="s">
        <v>46</v>
      </c>
      <c r="AB161" s="5" t="s">
        <v>46</v>
      </c>
    </row>
    <row r="162" spans="1:28" x14ac:dyDescent="0.35">
      <c r="A162" s="8" t="s">
        <v>1268</v>
      </c>
      <c r="B162" s="5" t="s">
        <v>240</v>
      </c>
      <c r="C162">
        <v>1942</v>
      </c>
      <c r="D162">
        <f t="shared" ca="1" si="5"/>
        <v>83</v>
      </c>
      <c r="E162" s="5" t="s">
        <v>6</v>
      </c>
      <c r="F162" t="s">
        <v>137</v>
      </c>
      <c r="G162" t="str">
        <f t="shared" si="3"/>
        <v>500.000–1.000.000</v>
      </c>
      <c r="H162" t="s">
        <v>30</v>
      </c>
      <c r="I162">
        <v>0</v>
      </c>
      <c r="J162" t="s">
        <v>8</v>
      </c>
      <c r="K162" s="5" t="s">
        <v>38</v>
      </c>
      <c r="L162" s="5" t="s">
        <v>39</v>
      </c>
      <c r="M162" s="5" t="s">
        <v>57</v>
      </c>
      <c r="N162" s="5" t="s">
        <v>58</v>
      </c>
      <c r="O162" s="5" t="s">
        <v>42</v>
      </c>
      <c r="P162" s="5" t="s">
        <v>15</v>
      </c>
      <c r="Q162" s="5" t="s">
        <v>17</v>
      </c>
      <c r="R162" s="5" t="s">
        <v>43</v>
      </c>
      <c r="S162" s="5" t="s">
        <v>21</v>
      </c>
      <c r="T162" s="6" t="s">
        <v>92</v>
      </c>
      <c r="U162" s="6">
        <v>1</v>
      </c>
      <c r="V162" s="6" t="s">
        <v>73</v>
      </c>
      <c r="W162" s="6">
        <v>0</v>
      </c>
      <c r="X162" s="6" t="s">
        <v>46</v>
      </c>
      <c r="Y162">
        <v>0</v>
      </c>
      <c r="Z162" s="5" t="s">
        <v>46</v>
      </c>
      <c r="AA162" s="5" t="s">
        <v>64</v>
      </c>
      <c r="AB162" s="5" t="s">
        <v>74</v>
      </c>
    </row>
    <row r="163" spans="1:28" x14ac:dyDescent="0.35">
      <c r="A163" s="8" t="s">
        <v>1269</v>
      </c>
      <c r="B163" s="5" t="s">
        <v>241</v>
      </c>
      <c r="C163">
        <v>1954</v>
      </c>
      <c r="D163">
        <f t="shared" ca="1" si="5"/>
        <v>71</v>
      </c>
      <c r="E163" s="5" t="s">
        <v>28</v>
      </c>
      <c r="F163" t="s">
        <v>29</v>
      </c>
      <c r="G163" t="str">
        <f t="shared" si="3"/>
        <v>&lt;500.000</v>
      </c>
      <c r="H163" t="s">
        <v>30</v>
      </c>
      <c r="I163">
        <v>0</v>
      </c>
      <c r="J163" t="s">
        <v>8</v>
      </c>
      <c r="K163" s="5" t="s">
        <v>38</v>
      </c>
      <c r="L163" s="5" t="s">
        <v>39</v>
      </c>
      <c r="M163" s="5" t="s">
        <v>57</v>
      </c>
      <c r="N163" s="5" t="s">
        <v>58</v>
      </c>
      <c r="O163" s="5" t="s">
        <v>42</v>
      </c>
      <c r="P163" s="5" t="s">
        <v>15</v>
      </c>
      <c r="Q163" s="5" t="s">
        <v>17</v>
      </c>
      <c r="R163" s="5" t="s">
        <v>43</v>
      </c>
      <c r="S163" s="5" t="s">
        <v>21</v>
      </c>
      <c r="T163" s="6" t="s">
        <v>92</v>
      </c>
      <c r="U163" s="6">
        <v>1</v>
      </c>
      <c r="V163" s="6" t="s">
        <v>73</v>
      </c>
      <c r="W163" s="6">
        <v>0</v>
      </c>
      <c r="X163" s="6" t="s">
        <v>46</v>
      </c>
      <c r="Y163">
        <v>0</v>
      </c>
      <c r="Z163" s="5" t="s">
        <v>46</v>
      </c>
      <c r="AA163" s="5" t="s">
        <v>64</v>
      </c>
      <c r="AB163" s="5" t="s">
        <v>74</v>
      </c>
    </row>
    <row r="164" spans="1:28" x14ac:dyDescent="0.35">
      <c r="A164" s="8" t="s">
        <v>1270</v>
      </c>
      <c r="B164" s="5" t="s">
        <v>242</v>
      </c>
      <c r="C164">
        <v>1957</v>
      </c>
      <c r="D164">
        <f t="shared" ca="1" si="5"/>
        <v>68</v>
      </c>
      <c r="E164" s="5" t="s">
        <v>6</v>
      </c>
      <c r="F164" t="s">
        <v>162</v>
      </c>
      <c r="G164" t="str">
        <f t="shared" si="3"/>
        <v>1.000.000–2.000.000</v>
      </c>
      <c r="H164" t="s">
        <v>30</v>
      </c>
      <c r="I164">
        <v>3</v>
      </c>
      <c r="J164" t="s">
        <v>8</v>
      </c>
      <c r="K164" s="5" t="s">
        <v>38</v>
      </c>
      <c r="L164" s="5" t="s">
        <v>11</v>
      </c>
      <c r="M164" s="5" t="s">
        <v>57</v>
      </c>
      <c r="N164" s="5" t="s">
        <v>58</v>
      </c>
      <c r="O164" s="5" t="s">
        <v>42</v>
      </c>
      <c r="P164" s="5" t="s">
        <v>15</v>
      </c>
      <c r="Q164" s="5" t="s">
        <v>17</v>
      </c>
      <c r="R164" s="5" t="s">
        <v>43</v>
      </c>
      <c r="S164" s="5" t="s">
        <v>21</v>
      </c>
      <c r="T164" s="6" t="s">
        <v>84</v>
      </c>
      <c r="U164" s="6">
        <v>1</v>
      </c>
      <c r="V164" s="6" t="s">
        <v>26</v>
      </c>
      <c r="W164" s="6">
        <v>1</v>
      </c>
      <c r="X164" s="6" t="s">
        <v>46</v>
      </c>
      <c r="Y164">
        <v>2</v>
      </c>
      <c r="Z164" s="5" t="s">
        <v>46</v>
      </c>
      <c r="AA164" s="5" t="s">
        <v>44</v>
      </c>
      <c r="AB164" s="5" t="s">
        <v>74</v>
      </c>
    </row>
    <row r="165" spans="1:28" x14ac:dyDescent="0.35">
      <c r="A165" s="8" t="s">
        <v>1271</v>
      </c>
      <c r="B165" s="5" t="s">
        <v>243</v>
      </c>
      <c r="C165">
        <v>1953</v>
      </c>
      <c r="D165">
        <f t="shared" ca="1" si="5"/>
        <v>72</v>
      </c>
      <c r="E165" s="5" t="s">
        <v>6</v>
      </c>
      <c r="F165" t="s">
        <v>29</v>
      </c>
      <c r="G165" t="str">
        <f t="shared" si="3"/>
        <v>&lt;500.000</v>
      </c>
      <c r="H165" t="s">
        <v>63</v>
      </c>
      <c r="I165">
        <v>0</v>
      </c>
      <c r="J165" t="s">
        <v>8</v>
      </c>
      <c r="K165" s="5" t="s">
        <v>38</v>
      </c>
      <c r="L165" s="5" t="s">
        <v>11</v>
      </c>
      <c r="M165" s="5" t="s">
        <v>57</v>
      </c>
      <c r="N165" s="5" t="s">
        <v>58</v>
      </c>
      <c r="O165" s="5" t="s">
        <v>89</v>
      </c>
      <c r="P165" s="5" t="s">
        <v>15</v>
      </c>
      <c r="Q165" s="5" t="s">
        <v>17</v>
      </c>
      <c r="R165" s="5" t="s">
        <v>43</v>
      </c>
      <c r="S165" s="5" t="s">
        <v>21</v>
      </c>
      <c r="T165" s="6" t="s">
        <v>73</v>
      </c>
      <c r="U165" s="6">
        <v>0</v>
      </c>
      <c r="V165" s="6" t="s">
        <v>73</v>
      </c>
      <c r="W165" s="6">
        <v>0</v>
      </c>
      <c r="X165" s="6" t="s">
        <v>46</v>
      </c>
      <c r="Y165">
        <v>0</v>
      </c>
      <c r="Z165" s="5" t="s">
        <v>46</v>
      </c>
      <c r="AA165" s="5" t="s">
        <v>44</v>
      </c>
      <c r="AB165" s="5" t="s">
        <v>46</v>
      </c>
    </row>
    <row r="166" spans="1:28" x14ac:dyDescent="0.35">
      <c r="A166" s="8" t="s">
        <v>1272</v>
      </c>
      <c r="B166" s="5" t="s">
        <v>244</v>
      </c>
      <c r="C166">
        <v>1956</v>
      </c>
      <c r="D166">
        <f t="shared" ca="1" si="5"/>
        <v>69</v>
      </c>
      <c r="E166" s="5" t="s">
        <v>6</v>
      </c>
      <c r="F166" t="s">
        <v>29</v>
      </c>
      <c r="G166" t="str">
        <f t="shared" si="3"/>
        <v>&lt;500.000</v>
      </c>
      <c r="H166" t="s">
        <v>30</v>
      </c>
      <c r="I166">
        <v>0</v>
      </c>
      <c r="J166" t="s">
        <v>8</v>
      </c>
      <c r="K166" s="5" t="s">
        <v>38</v>
      </c>
      <c r="L166" s="5" t="s">
        <v>11</v>
      </c>
      <c r="M166" s="5" t="s">
        <v>40</v>
      </c>
      <c r="N166" s="5" t="s">
        <v>37</v>
      </c>
      <c r="O166" s="5" t="s">
        <v>42</v>
      </c>
      <c r="P166" s="5" t="s">
        <v>15</v>
      </c>
      <c r="Q166" s="5" t="s">
        <v>17</v>
      </c>
      <c r="R166" s="5" t="s">
        <v>43</v>
      </c>
      <c r="S166" s="5" t="s">
        <v>21</v>
      </c>
      <c r="T166" s="6" t="s">
        <v>73</v>
      </c>
      <c r="U166" s="6">
        <v>0</v>
      </c>
      <c r="V166" s="6" t="s">
        <v>73</v>
      </c>
      <c r="W166" s="6">
        <v>0</v>
      </c>
      <c r="X166" s="6" t="s">
        <v>46</v>
      </c>
      <c r="Y166">
        <v>0</v>
      </c>
      <c r="Z166" s="5" t="s">
        <v>46</v>
      </c>
      <c r="AA166" s="5" t="s">
        <v>44</v>
      </c>
      <c r="AB166" s="5" t="s">
        <v>74</v>
      </c>
    </row>
    <row r="167" spans="1:28" x14ac:dyDescent="0.35">
      <c r="A167" s="8" t="s">
        <v>1273</v>
      </c>
      <c r="B167" s="5" t="s">
        <v>97</v>
      </c>
      <c r="C167">
        <v>1954</v>
      </c>
      <c r="D167">
        <f t="shared" ca="1" si="5"/>
        <v>71</v>
      </c>
      <c r="E167" s="5" t="s">
        <v>6</v>
      </c>
      <c r="F167" t="s">
        <v>29</v>
      </c>
      <c r="G167" t="str">
        <f t="shared" si="3"/>
        <v>&lt;500.000</v>
      </c>
      <c r="H167" t="s">
        <v>63</v>
      </c>
      <c r="I167">
        <v>0</v>
      </c>
      <c r="J167" t="s">
        <v>8</v>
      </c>
      <c r="K167" s="5" t="s">
        <v>38</v>
      </c>
      <c r="L167" s="5" t="s">
        <v>11</v>
      </c>
      <c r="M167" s="5" t="s">
        <v>57</v>
      </c>
      <c r="N167" s="5" t="s">
        <v>58</v>
      </c>
      <c r="O167" s="5" t="s">
        <v>89</v>
      </c>
      <c r="P167" s="5" t="s">
        <v>15</v>
      </c>
      <c r="Q167" s="5" t="s">
        <v>17</v>
      </c>
      <c r="R167" s="5" t="s">
        <v>43</v>
      </c>
      <c r="S167" s="5" t="s">
        <v>21</v>
      </c>
      <c r="T167" s="6" t="s">
        <v>73</v>
      </c>
      <c r="U167" s="6">
        <v>0</v>
      </c>
      <c r="V167" s="6" t="s">
        <v>73</v>
      </c>
      <c r="W167" s="6">
        <v>0</v>
      </c>
      <c r="X167" s="6" t="s">
        <v>46</v>
      </c>
      <c r="Y167">
        <v>0</v>
      </c>
      <c r="Z167" s="5" t="s">
        <v>46</v>
      </c>
      <c r="AA167" s="5" t="s">
        <v>44</v>
      </c>
      <c r="AB167" s="5" t="s">
        <v>46</v>
      </c>
    </row>
    <row r="168" spans="1:28" x14ac:dyDescent="0.35">
      <c r="A168" s="8" t="s">
        <v>1274</v>
      </c>
      <c r="B168" s="5" t="s">
        <v>245</v>
      </c>
      <c r="C168">
        <v>1991</v>
      </c>
      <c r="D168">
        <f t="shared" ca="1" si="5"/>
        <v>34</v>
      </c>
      <c r="E168" s="5" t="s">
        <v>6</v>
      </c>
      <c r="F168" t="s">
        <v>162</v>
      </c>
      <c r="G168" t="str">
        <f t="shared" si="3"/>
        <v>1.000.000–2.000.000</v>
      </c>
      <c r="H168" t="s">
        <v>139</v>
      </c>
      <c r="I168">
        <v>2</v>
      </c>
      <c r="J168" t="s">
        <v>8</v>
      </c>
      <c r="K168" s="5" t="s">
        <v>38</v>
      </c>
      <c r="L168" s="5" t="s">
        <v>11</v>
      </c>
      <c r="M168" s="5" t="s">
        <v>57</v>
      </c>
      <c r="N168" s="5" t="s">
        <v>58</v>
      </c>
      <c r="O168" s="5" t="s">
        <v>42</v>
      </c>
      <c r="P168" s="5" t="s">
        <v>15</v>
      </c>
      <c r="Q168" s="5" t="s">
        <v>17</v>
      </c>
      <c r="R168" s="5" t="s">
        <v>43</v>
      </c>
      <c r="S168" s="5" t="s">
        <v>21</v>
      </c>
      <c r="T168" s="6" t="s">
        <v>23</v>
      </c>
      <c r="U168" s="6">
        <v>1</v>
      </c>
      <c r="V168" s="6" t="s">
        <v>26</v>
      </c>
      <c r="W168" s="6">
        <v>1</v>
      </c>
      <c r="X168" s="6" t="s">
        <v>46</v>
      </c>
      <c r="Y168">
        <v>1</v>
      </c>
      <c r="Z168" s="5" t="s">
        <v>44</v>
      </c>
      <c r="AA168" s="5" t="s">
        <v>46</v>
      </c>
      <c r="AB168" s="5" t="s">
        <v>46</v>
      </c>
    </row>
    <row r="169" spans="1:28" x14ac:dyDescent="0.35">
      <c r="A169" s="8" t="s">
        <v>1275</v>
      </c>
      <c r="B169" s="5" t="s">
        <v>246</v>
      </c>
      <c r="C169">
        <v>1996</v>
      </c>
      <c r="D169">
        <f t="shared" ca="1" si="5"/>
        <v>29</v>
      </c>
      <c r="E169" s="5" t="s">
        <v>28</v>
      </c>
      <c r="F169" t="s">
        <v>119</v>
      </c>
      <c r="G169" t="str">
        <f t="shared" si="3"/>
        <v>500.000–1.000.000</v>
      </c>
      <c r="H169" t="s">
        <v>139</v>
      </c>
      <c r="I169">
        <v>2</v>
      </c>
      <c r="J169" t="s">
        <v>8</v>
      </c>
      <c r="K169" s="5" t="s">
        <v>38</v>
      </c>
      <c r="L169" s="5" t="s">
        <v>11</v>
      </c>
      <c r="M169" s="5" t="s">
        <v>57</v>
      </c>
      <c r="N169" s="5" t="s">
        <v>58</v>
      </c>
      <c r="O169" s="5" t="s">
        <v>42</v>
      </c>
      <c r="P169" s="5" t="s">
        <v>15</v>
      </c>
      <c r="Q169" s="5" t="s">
        <v>17</v>
      </c>
      <c r="R169" s="5" t="s">
        <v>43</v>
      </c>
      <c r="S169" s="5" t="s">
        <v>21</v>
      </c>
      <c r="T169" s="6" t="s">
        <v>23</v>
      </c>
      <c r="U169" s="6">
        <v>1</v>
      </c>
      <c r="V169" s="6" t="s">
        <v>26</v>
      </c>
      <c r="W169" s="6">
        <v>1</v>
      </c>
      <c r="X169" s="6" t="s">
        <v>46</v>
      </c>
      <c r="Y169">
        <v>1</v>
      </c>
      <c r="Z169" s="5" t="s">
        <v>44</v>
      </c>
      <c r="AA169" s="5" t="s">
        <v>46</v>
      </c>
      <c r="AB169" s="5" t="s">
        <v>46</v>
      </c>
    </row>
    <row r="170" spans="1:28" x14ac:dyDescent="0.35">
      <c r="A170" s="8" t="s">
        <v>1276</v>
      </c>
      <c r="B170" s="5" t="s">
        <v>247</v>
      </c>
      <c r="C170">
        <v>1949</v>
      </c>
      <c r="D170">
        <f t="shared" ca="1" si="5"/>
        <v>76</v>
      </c>
      <c r="E170" s="5" t="s">
        <v>6</v>
      </c>
      <c r="F170" t="s">
        <v>29</v>
      </c>
      <c r="G170" t="str">
        <f t="shared" si="3"/>
        <v>&lt;500.000</v>
      </c>
      <c r="H170" t="s">
        <v>63</v>
      </c>
      <c r="I170">
        <v>0</v>
      </c>
      <c r="J170" t="s">
        <v>8</v>
      </c>
      <c r="K170" s="5" t="s">
        <v>38</v>
      </c>
      <c r="L170" s="5" t="s">
        <v>49</v>
      </c>
      <c r="M170" s="5" t="s">
        <v>57</v>
      </c>
      <c r="N170" s="5" t="s">
        <v>58</v>
      </c>
      <c r="O170" s="5" t="s">
        <v>89</v>
      </c>
      <c r="P170" s="5" t="s">
        <v>15</v>
      </c>
      <c r="Q170" s="5" t="s">
        <v>17</v>
      </c>
      <c r="R170" s="5" t="s">
        <v>43</v>
      </c>
      <c r="S170" s="5" t="s">
        <v>21</v>
      </c>
      <c r="T170" s="6" t="s">
        <v>73</v>
      </c>
      <c r="U170" s="6">
        <v>0</v>
      </c>
      <c r="V170" s="6" t="s">
        <v>73</v>
      </c>
      <c r="W170" s="6">
        <v>0</v>
      </c>
      <c r="X170" s="6" t="s">
        <v>46</v>
      </c>
      <c r="Y170">
        <v>0</v>
      </c>
      <c r="Z170" s="5" t="s">
        <v>46</v>
      </c>
      <c r="AA170" s="5" t="s">
        <v>44</v>
      </c>
      <c r="AB170" s="5" t="s">
        <v>46</v>
      </c>
    </row>
    <row r="171" spans="1:28" x14ac:dyDescent="0.35">
      <c r="A171" s="8" t="s">
        <v>1277</v>
      </c>
      <c r="B171" s="5" t="s">
        <v>248</v>
      </c>
      <c r="C171">
        <v>1980</v>
      </c>
      <c r="D171">
        <f t="shared" ca="1" si="5"/>
        <v>45</v>
      </c>
      <c r="E171" s="5" t="s">
        <v>6</v>
      </c>
      <c r="F171" t="s">
        <v>162</v>
      </c>
      <c r="G171" t="str">
        <f t="shared" si="3"/>
        <v>1.000.000–2.000.000</v>
      </c>
      <c r="H171" t="s">
        <v>30</v>
      </c>
      <c r="I171">
        <v>2</v>
      </c>
      <c r="J171" t="s">
        <v>8</v>
      </c>
      <c r="K171" s="5" t="s">
        <v>114</v>
      </c>
      <c r="L171" s="5" t="s">
        <v>11</v>
      </c>
      <c r="M171" s="5" t="s">
        <v>57</v>
      </c>
      <c r="N171" s="5" t="s">
        <v>58</v>
      </c>
      <c r="O171" s="5" t="s">
        <v>42</v>
      </c>
      <c r="P171" s="5" t="s">
        <v>15</v>
      </c>
      <c r="Q171" s="5" t="s">
        <v>17</v>
      </c>
      <c r="R171" s="5" t="s">
        <v>43</v>
      </c>
      <c r="S171" s="5" t="s">
        <v>21</v>
      </c>
      <c r="T171" s="6" t="s">
        <v>23</v>
      </c>
      <c r="U171" s="6">
        <v>1</v>
      </c>
      <c r="V171" s="6" t="s">
        <v>249</v>
      </c>
      <c r="W171" s="6">
        <v>1</v>
      </c>
      <c r="X171" s="6" t="s">
        <v>60</v>
      </c>
      <c r="Y171">
        <v>2</v>
      </c>
      <c r="Z171" s="5" t="s">
        <v>46</v>
      </c>
      <c r="AA171" s="5" t="s">
        <v>46</v>
      </c>
      <c r="AB171" s="5" t="s">
        <v>74</v>
      </c>
    </row>
    <row r="172" spans="1:28" x14ac:dyDescent="0.35">
      <c r="A172" s="8" t="s">
        <v>1278</v>
      </c>
      <c r="B172" s="5" t="s">
        <v>250</v>
      </c>
      <c r="C172">
        <v>1986</v>
      </c>
      <c r="D172">
        <f t="shared" ca="1" si="5"/>
        <v>39</v>
      </c>
      <c r="E172" s="5" t="s">
        <v>28</v>
      </c>
      <c r="F172" t="s">
        <v>29</v>
      </c>
      <c r="G172" t="str">
        <f t="shared" si="3"/>
        <v>500.000–1.000.000</v>
      </c>
      <c r="H172" t="s">
        <v>7</v>
      </c>
      <c r="I172">
        <v>2</v>
      </c>
      <c r="J172" t="s">
        <v>8</v>
      </c>
      <c r="K172" s="5" t="s">
        <v>114</v>
      </c>
      <c r="L172" s="5" t="s">
        <v>11</v>
      </c>
      <c r="M172" s="5" t="s">
        <v>57</v>
      </c>
      <c r="N172" s="5" t="s">
        <v>58</v>
      </c>
      <c r="O172" s="5" t="s">
        <v>42</v>
      </c>
      <c r="P172" s="5" t="s">
        <v>15</v>
      </c>
      <c r="Q172" s="5" t="s">
        <v>17</v>
      </c>
      <c r="R172" s="5" t="s">
        <v>43</v>
      </c>
      <c r="S172" s="5" t="s">
        <v>21</v>
      </c>
      <c r="T172" s="6" t="s">
        <v>23</v>
      </c>
      <c r="U172" s="6">
        <v>1</v>
      </c>
      <c r="V172" s="6" t="s">
        <v>249</v>
      </c>
      <c r="W172" s="6">
        <v>1</v>
      </c>
      <c r="X172" s="6" t="s">
        <v>60</v>
      </c>
      <c r="Y172">
        <v>2</v>
      </c>
      <c r="Z172" s="5" t="s">
        <v>46</v>
      </c>
      <c r="AA172" s="5" t="s">
        <v>46</v>
      </c>
      <c r="AB172" s="5" t="s">
        <v>74</v>
      </c>
    </row>
    <row r="173" spans="1:28" x14ac:dyDescent="0.35">
      <c r="A173" s="8" t="s">
        <v>1279</v>
      </c>
      <c r="B173" s="5" t="s">
        <v>251</v>
      </c>
      <c r="C173">
        <v>1958</v>
      </c>
      <c r="D173">
        <f t="shared" ca="1" si="5"/>
        <v>67</v>
      </c>
      <c r="E173" s="5" t="s">
        <v>6</v>
      </c>
      <c r="F173" t="s">
        <v>29</v>
      </c>
      <c r="G173" t="str">
        <f t="shared" si="3"/>
        <v>&lt;500.000</v>
      </c>
      <c r="H173" t="s">
        <v>63</v>
      </c>
      <c r="I173">
        <v>1</v>
      </c>
      <c r="J173" t="s">
        <v>8</v>
      </c>
      <c r="K173" s="5" t="s">
        <v>38</v>
      </c>
      <c r="L173" s="5" t="s">
        <v>11</v>
      </c>
      <c r="M173" s="5" t="s">
        <v>57</v>
      </c>
      <c r="N173" s="5" t="s">
        <v>58</v>
      </c>
      <c r="O173" s="5" t="s">
        <v>42</v>
      </c>
      <c r="P173" s="5" t="s">
        <v>15</v>
      </c>
      <c r="Q173" s="5" t="s">
        <v>17</v>
      </c>
      <c r="R173" s="5" t="s">
        <v>43</v>
      </c>
      <c r="S173" s="5" t="s">
        <v>21</v>
      </c>
      <c r="T173" s="6" t="s">
        <v>73</v>
      </c>
      <c r="U173" s="6">
        <v>0</v>
      </c>
      <c r="V173" s="6" t="s">
        <v>76</v>
      </c>
      <c r="W173" s="6">
        <v>1</v>
      </c>
      <c r="X173" s="6" t="s">
        <v>46</v>
      </c>
      <c r="Y173">
        <v>0</v>
      </c>
      <c r="Z173" s="5" t="s">
        <v>46</v>
      </c>
      <c r="AA173" s="5" t="s">
        <v>64</v>
      </c>
      <c r="AB173" s="5" t="s">
        <v>46</v>
      </c>
    </row>
    <row r="174" spans="1:28" x14ac:dyDescent="0.35">
      <c r="A174" s="8" t="s">
        <v>1280</v>
      </c>
      <c r="B174" s="5" t="s">
        <v>252</v>
      </c>
      <c r="C174">
        <v>1960</v>
      </c>
      <c r="D174">
        <f t="shared" ca="1" si="5"/>
        <v>65</v>
      </c>
      <c r="E174" s="5" t="s">
        <v>28</v>
      </c>
      <c r="F174" t="s">
        <v>29</v>
      </c>
      <c r="G174" t="str">
        <f t="shared" si="3"/>
        <v>&lt;500.000</v>
      </c>
      <c r="H174" t="s">
        <v>63</v>
      </c>
      <c r="I174">
        <v>1</v>
      </c>
      <c r="J174" t="s">
        <v>8</v>
      </c>
      <c r="K174" s="5" t="s">
        <v>38</v>
      </c>
      <c r="L174" s="5" t="s">
        <v>11</v>
      </c>
      <c r="M174" s="5" t="s">
        <v>57</v>
      </c>
      <c r="N174" s="5" t="s">
        <v>58</v>
      </c>
      <c r="O174" s="5" t="s">
        <v>42</v>
      </c>
      <c r="P174" s="5" t="s">
        <v>15</v>
      </c>
      <c r="Q174" s="5" t="s">
        <v>17</v>
      </c>
      <c r="R174" s="5" t="s">
        <v>43</v>
      </c>
      <c r="S174" s="5" t="s">
        <v>21</v>
      </c>
      <c r="T174" s="6" t="s">
        <v>73</v>
      </c>
      <c r="U174" s="6">
        <v>0</v>
      </c>
      <c r="V174" s="6" t="s">
        <v>76</v>
      </c>
      <c r="W174" s="6">
        <v>1</v>
      </c>
      <c r="X174" s="6" t="s">
        <v>46</v>
      </c>
      <c r="Y174">
        <v>0</v>
      </c>
      <c r="Z174" s="5" t="s">
        <v>46</v>
      </c>
      <c r="AA174" s="5" t="s">
        <v>64</v>
      </c>
      <c r="AB174" s="5" t="s">
        <v>46</v>
      </c>
    </row>
    <row r="175" spans="1:28" x14ac:dyDescent="0.35">
      <c r="A175" s="8" t="s">
        <v>1281</v>
      </c>
      <c r="B175" s="5" t="s">
        <v>253</v>
      </c>
      <c r="C175">
        <v>1997</v>
      </c>
      <c r="D175">
        <f t="shared" ca="1" si="5"/>
        <v>28</v>
      </c>
      <c r="E175" s="5" t="s">
        <v>6</v>
      </c>
      <c r="F175" t="s">
        <v>29</v>
      </c>
      <c r="G175" t="str">
        <f t="shared" si="3"/>
        <v>&lt;500.000</v>
      </c>
      <c r="H175" t="s">
        <v>63</v>
      </c>
      <c r="I175">
        <v>2</v>
      </c>
      <c r="J175" t="s">
        <v>8</v>
      </c>
      <c r="K175" s="5" t="s">
        <v>10</v>
      </c>
      <c r="L175" s="5" t="s">
        <v>11</v>
      </c>
      <c r="M175" s="5" t="s">
        <v>40</v>
      </c>
      <c r="N175" s="5" t="s">
        <v>37</v>
      </c>
      <c r="O175" s="5" t="s">
        <v>42</v>
      </c>
      <c r="P175" s="5" t="s">
        <v>15</v>
      </c>
      <c r="Q175" s="5" t="s">
        <v>17</v>
      </c>
      <c r="R175" s="5" t="s">
        <v>87</v>
      </c>
      <c r="S175" s="5" t="s">
        <v>21</v>
      </c>
      <c r="T175" s="6" t="s">
        <v>23</v>
      </c>
      <c r="U175" s="6">
        <v>1</v>
      </c>
      <c r="V175" s="6" t="s">
        <v>26</v>
      </c>
      <c r="W175" s="6">
        <v>1</v>
      </c>
      <c r="X175" s="6" t="s">
        <v>46</v>
      </c>
      <c r="Y175">
        <v>1</v>
      </c>
      <c r="Z175" s="5" t="s">
        <v>44</v>
      </c>
      <c r="AA175" s="5" t="s">
        <v>46</v>
      </c>
      <c r="AB175" s="5" t="s">
        <v>46</v>
      </c>
    </row>
    <row r="176" spans="1:28" x14ac:dyDescent="0.35">
      <c r="A176" s="8" t="s">
        <v>1282</v>
      </c>
      <c r="B176" s="5" t="s">
        <v>254</v>
      </c>
      <c r="C176">
        <v>1998</v>
      </c>
      <c r="D176">
        <f t="shared" ca="1" si="5"/>
        <v>27</v>
      </c>
      <c r="E176" s="5" t="s">
        <v>28</v>
      </c>
      <c r="F176" t="s">
        <v>54</v>
      </c>
      <c r="G176" t="str">
        <f t="shared" si="3"/>
        <v>1.000.000–2.000.000</v>
      </c>
      <c r="H176" t="s">
        <v>139</v>
      </c>
      <c r="I176">
        <v>2</v>
      </c>
      <c r="J176" t="s">
        <v>8</v>
      </c>
      <c r="K176" s="5" t="s">
        <v>10</v>
      </c>
      <c r="L176" s="5" t="s">
        <v>11</v>
      </c>
      <c r="M176" s="5" t="s">
        <v>40</v>
      </c>
      <c r="N176" s="5" t="s">
        <v>37</v>
      </c>
      <c r="O176" s="5" t="s">
        <v>42</v>
      </c>
      <c r="P176" s="5" t="s">
        <v>15</v>
      </c>
      <c r="Q176" s="5" t="s">
        <v>17</v>
      </c>
      <c r="R176" s="5" t="s">
        <v>87</v>
      </c>
      <c r="S176" s="5" t="s">
        <v>21</v>
      </c>
      <c r="T176" s="6" t="s">
        <v>23</v>
      </c>
      <c r="U176" s="6">
        <v>1</v>
      </c>
      <c r="V176" s="6" t="s">
        <v>26</v>
      </c>
      <c r="W176" s="6">
        <v>1</v>
      </c>
      <c r="X176" s="6" t="s">
        <v>46</v>
      </c>
      <c r="Y176">
        <v>1</v>
      </c>
      <c r="Z176" s="5" t="s">
        <v>44</v>
      </c>
      <c r="AA176" s="5" t="s">
        <v>46</v>
      </c>
      <c r="AB176" s="5" t="s">
        <v>46</v>
      </c>
    </row>
    <row r="177" spans="1:28" x14ac:dyDescent="0.35">
      <c r="A177" s="8" t="s">
        <v>1283</v>
      </c>
      <c r="B177" s="5" t="s">
        <v>255</v>
      </c>
      <c r="C177">
        <v>1973</v>
      </c>
      <c r="D177">
        <f t="shared" ca="1" si="5"/>
        <v>52</v>
      </c>
      <c r="E177" s="5" t="s">
        <v>6</v>
      </c>
      <c r="F177" t="s">
        <v>54</v>
      </c>
      <c r="G177" t="str">
        <f t="shared" si="3"/>
        <v>500.000–1.000.000</v>
      </c>
      <c r="H177" t="s">
        <v>30</v>
      </c>
      <c r="I177">
        <v>4</v>
      </c>
      <c r="J177" t="s">
        <v>48</v>
      </c>
      <c r="K177" s="5" t="s">
        <v>38</v>
      </c>
      <c r="L177" s="5" t="s">
        <v>11</v>
      </c>
      <c r="M177" s="5" t="s">
        <v>57</v>
      </c>
      <c r="N177" s="5" t="s">
        <v>58</v>
      </c>
      <c r="O177" s="5" t="s">
        <v>42</v>
      </c>
      <c r="P177" s="5" t="s">
        <v>15</v>
      </c>
      <c r="Q177" s="5" t="s">
        <v>17</v>
      </c>
      <c r="R177" s="5" t="s">
        <v>43</v>
      </c>
      <c r="S177" s="5" t="s">
        <v>21</v>
      </c>
      <c r="T177" s="6" t="s">
        <v>23</v>
      </c>
      <c r="U177" s="6">
        <v>1</v>
      </c>
      <c r="V177" s="6" t="s">
        <v>256</v>
      </c>
      <c r="W177" s="6">
        <v>1</v>
      </c>
      <c r="X177" s="6" t="s">
        <v>46</v>
      </c>
      <c r="Y177">
        <v>2</v>
      </c>
      <c r="Z177" s="5" t="s">
        <v>46</v>
      </c>
      <c r="AA177" s="5" t="s">
        <v>46</v>
      </c>
      <c r="AB177" s="5" t="s">
        <v>46</v>
      </c>
    </row>
    <row r="178" spans="1:28" x14ac:dyDescent="0.35">
      <c r="A178" s="8" t="s">
        <v>1284</v>
      </c>
      <c r="B178" s="5" t="s">
        <v>257</v>
      </c>
      <c r="C178">
        <v>1976</v>
      </c>
      <c r="D178">
        <f t="shared" ca="1" si="5"/>
        <v>49</v>
      </c>
      <c r="E178" s="5" t="s">
        <v>28</v>
      </c>
      <c r="F178" t="s">
        <v>55</v>
      </c>
      <c r="G178" t="str">
        <f t="shared" si="3"/>
        <v>500.000–1.000.000</v>
      </c>
      <c r="H178" t="s">
        <v>30</v>
      </c>
      <c r="I178">
        <v>4</v>
      </c>
      <c r="J178" t="s">
        <v>48</v>
      </c>
      <c r="K178" s="5" t="s">
        <v>38</v>
      </c>
      <c r="L178" s="5" t="s">
        <v>11</v>
      </c>
      <c r="M178" s="5" t="s">
        <v>57</v>
      </c>
      <c r="N178" s="5" t="s">
        <v>58</v>
      </c>
      <c r="O178" s="5" t="s">
        <v>42</v>
      </c>
      <c r="P178" s="5" t="s">
        <v>15</v>
      </c>
      <c r="Q178" s="5" t="s">
        <v>17</v>
      </c>
      <c r="R178" s="5" t="s">
        <v>43</v>
      </c>
      <c r="S178" s="5" t="s">
        <v>21</v>
      </c>
      <c r="T178" s="6" t="s">
        <v>23</v>
      </c>
      <c r="U178" s="6">
        <v>1</v>
      </c>
      <c r="V178" s="6" t="s">
        <v>256</v>
      </c>
      <c r="W178" s="6">
        <v>1</v>
      </c>
      <c r="X178" s="6" t="s">
        <v>46</v>
      </c>
      <c r="Y178">
        <v>2</v>
      </c>
      <c r="Z178" s="5" t="s">
        <v>46</v>
      </c>
      <c r="AA178" s="5" t="s">
        <v>46</v>
      </c>
      <c r="AB178" s="5" t="s">
        <v>46</v>
      </c>
    </row>
    <row r="179" spans="1:28" x14ac:dyDescent="0.35">
      <c r="A179" s="8" t="s">
        <v>1285</v>
      </c>
      <c r="B179" s="5" t="s">
        <v>258</v>
      </c>
      <c r="C179">
        <v>1935</v>
      </c>
      <c r="D179">
        <f t="shared" ca="1" si="5"/>
        <v>90</v>
      </c>
      <c r="E179" s="5" t="s">
        <v>6</v>
      </c>
      <c r="F179" t="s">
        <v>29</v>
      </c>
      <c r="G179" t="str">
        <f t="shared" si="3"/>
        <v>&lt;500.000</v>
      </c>
      <c r="H179" t="s">
        <v>30</v>
      </c>
      <c r="I179">
        <v>0</v>
      </c>
      <c r="J179" t="s">
        <v>8</v>
      </c>
      <c r="K179" s="5" t="s">
        <v>38</v>
      </c>
      <c r="L179" s="5" t="s">
        <v>11</v>
      </c>
      <c r="M179" s="5" t="s">
        <v>57</v>
      </c>
      <c r="N179" s="5" t="s">
        <v>58</v>
      </c>
      <c r="O179" s="5" t="s">
        <v>42</v>
      </c>
      <c r="P179" s="5" t="s">
        <v>15</v>
      </c>
      <c r="Q179" s="5" t="s">
        <v>17</v>
      </c>
      <c r="R179" s="5" t="s">
        <v>43</v>
      </c>
      <c r="S179" s="5" t="s">
        <v>21</v>
      </c>
      <c r="T179" s="6" t="s">
        <v>73</v>
      </c>
      <c r="U179" s="6">
        <v>0</v>
      </c>
      <c r="V179" s="6" t="s">
        <v>73</v>
      </c>
      <c r="W179" s="6">
        <v>0</v>
      </c>
      <c r="X179" s="6" t="s">
        <v>46</v>
      </c>
      <c r="Y179">
        <v>0</v>
      </c>
      <c r="Z179" s="5" t="s">
        <v>46</v>
      </c>
      <c r="AA179" s="5" t="s">
        <v>44</v>
      </c>
      <c r="AB179" s="5" t="s">
        <v>35</v>
      </c>
    </row>
    <row r="180" spans="1:28" x14ac:dyDescent="0.35">
      <c r="A180" s="8" t="s">
        <v>1286</v>
      </c>
      <c r="B180" s="5" t="s">
        <v>259</v>
      </c>
      <c r="C180">
        <v>1989</v>
      </c>
      <c r="D180">
        <f t="shared" ca="1" si="5"/>
        <v>36</v>
      </c>
      <c r="E180" s="5" t="s">
        <v>6</v>
      </c>
      <c r="F180" t="s">
        <v>162</v>
      </c>
      <c r="G180" t="str">
        <f t="shared" si="3"/>
        <v>1.000.000–2.000.000</v>
      </c>
      <c r="H180" t="s">
        <v>7</v>
      </c>
      <c r="I180">
        <v>1</v>
      </c>
      <c r="J180" t="s">
        <v>8</v>
      </c>
      <c r="K180" s="5" t="s">
        <v>114</v>
      </c>
      <c r="L180" s="5" t="s">
        <v>11</v>
      </c>
      <c r="M180" s="5" t="s">
        <v>57</v>
      </c>
      <c r="N180" s="5" t="s">
        <v>58</v>
      </c>
      <c r="O180" s="5" t="s">
        <v>42</v>
      </c>
      <c r="P180" s="5" t="s">
        <v>15</v>
      </c>
      <c r="Q180" s="5" t="s">
        <v>17</v>
      </c>
      <c r="R180" s="5" t="s">
        <v>43</v>
      </c>
      <c r="S180" s="5" t="s">
        <v>21</v>
      </c>
      <c r="T180" s="6" t="s">
        <v>84</v>
      </c>
      <c r="U180" s="6">
        <v>1</v>
      </c>
      <c r="V180" s="6" t="s">
        <v>76</v>
      </c>
      <c r="W180" s="6">
        <v>1</v>
      </c>
      <c r="X180" s="6" t="s">
        <v>46</v>
      </c>
      <c r="Y180">
        <v>1</v>
      </c>
      <c r="Z180" s="5" t="s">
        <v>46</v>
      </c>
      <c r="AA180" s="5" t="s">
        <v>46</v>
      </c>
      <c r="AB180" s="5" t="s">
        <v>74</v>
      </c>
    </row>
    <row r="181" spans="1:28" x14ac:dyDescent="0.35">
      <c r="A181" s="8" t="s">
        <v>1287</v>
      </c>
      <c r="B181" s="5" t="s">
        <v>260</v>
      </c>
      <c r="C181">
        <v>1994</v>
      </c>
      <c r="D181">
        <f t="shared" ca="1" si="5"/>
        <v>31</v>
      </c>
      <c r="E181" s="5" t="s">
        <v>28</v>
      </c>
      <c r="F181" t="s">
        <v>119</v>
      </c>
      <c r="G181" t="str">
        <f t="shared" si="3"/>
        <v>&lt;500.000</v>
      </c>
      <c r="H181" t="s">
        <v>30</v>
      </c>
      <c r="I181">
        <v>1</v>
      </c>
      <c r="J181" t="s">
        <v>8</v>
      </c>
      <c r="K181" s="5" t="s">
        <v>114</v>
      </c>
      <c r="L181" s="5" t="s">
        <v>11</v>
      </c>
      <c r="M181" s="5" t="s">
        <v>57</v>
      </c>
      <c r="N181" s="5" t="s">
        <v>58</v>
      </c>
      <c r="O181" s="5" t="s">
        <v>42</v>
      </c>
      <c r="P181" s="5" t="s">
        <v>15</v>
      </c>
      <c r="Q181" s="5" t="s">
        <v>17</v>
      </c>
      <c r="R181" s="5" t="s">
        <v>43</v>
      </c>
      <c r="S181" s="5" t="s">
        <v>21</v>
      </c>
      <c r="T181" s="6" t="s">
        <v>84</v>
      </c>
      <c r="U181" s="6">
        <v>1</v>
      </c>
      <c r="V181" s="6" t="s">
        <v>76</v>
      </c>
      <c r="W181" s="6">
        <v>1</v>
      </c>
      <c r="X181" s="6" t="s">
        <v>46</v>
      </c>
      <c r="Y181">
        <v>1</v>
      </c>
      <c r="Z181" s="5" t="s">
        <v>46</v>
      </c>
      <c r="AA181" s="5" t="s">
        <v>46</v>
      </c>
      <c r="AB181" s="5" t="s">
        <v>74</v>
      </c>
    </row>
    <row r="182" spans="1:28" x14ac:dyDescent="0.35">
      <c r="A182" s="8" t="s">
        <v>1288</v>
      </c>
      <c r="B182" s="5" t="s">
        <v>261</v>
      </c>
      <c r="C182">
        <v>1951</v>
      </c>
      <c r="D182">
        <f t="shared" ca="1" si="5"/>
        <v>74</v>
      </c>
      <c r="E182" s="5" t="s">
        <v>6</v>
      </c>
      <c r="F182" t="s">
        <v>29</v>
      </c>
      <c r="G182" t="str">
        <f t="shared" si="3"/>
        <v>&lt;500.000</v>
      </c>
      <c r="H182" t="s">
        <v>30</v>
      </c>
      <c r="I182">
        <v>0</v>
      </c>
      <c r="J182" t="s">
        <v>8</v>
      </c>
      <c r="K182" s="5" t="s">
        <v>38</v>
      </c>
      <c r="L182" s="5" t="s">
        <v>49</v>
      </c>
      <c r="M182" s="5" t="s">
        <v>57</v>
      </c>
      <c r="N182" s="5" t="s">
        <v>58</v>
      </c>
      <c r="O182" s="5" t="s">
        <v>42</v>
      </c>
      <c r="P182" s="5" t="s">
        <v>15</v>
      </c>
      <c r="Q182" s="5" t="s">
        <v>17</v>
      </c>
      <c r="R182" s="5" t="s">
        <v>43</v>
      </c>
      <c r="S182" s="5" t="s">
        <v>21</v>
      </c>
      <c r="T182" s="6" t="s">
        <v>73</v>
      </c>
      <c r="U182" s="6">
        <v>0</v>
      </c>
      <c r="V182" s="6" t="s">
        <v>73</v>
      </c>
      <c r="W182" s="6">
        <v>0</v>
      </c>
      <c r="X182" s="6" t="s">
        <v>44</v>
      </c>
      <c r="Y182">
        <v>0</v>
      </c>
      <c r="Z182" s="5" t="s">
        <v>46</v>
      </c>
      <c r="AA182" s="5" t="s">
        <v>44</v>
      </c>
      <c r="AB182" s="5" t="s">
        <v>46</v>
      </c>
    </row>
    <row r="183" spans="1:28" x14ac:dyDescent="0.35">
      <c r="A183" s="8" t="s">
        <v>1289</v>
      </c>
      <c r="B183" s="5" t="s">
        <v>262</v>
      </c>
      <c r="C183">
        <v>1976</v>
      </c>
      <c r="D183">
        <f t="shared" ca="1" si="5"/>
        <v>49</v>
      </c>
      <c r="E183" s="5" t="s">
        <v>6</v>
      </c>
      <c r="F183" t="s">
        <v>137</v>
      </c>
      <c r="G183" t="str">
        <f t="shared" si="3"/>
        <v>500.000–1.000.000</v>
      </c>
      <c r="H183" t="s">
        <v>30</v>
      </c>
      <c r="I183">
        <v>2</v>
      </c>
      <c r="J183" t="s">
        <v>72</v>
      </c>
      <c r="K183" s="5" t="s">
        <v>38</v>
      </c>
      <c r="L183" s="5" t="s">
        <v>11</v>
      </c>
      <c r="M183" s="5" t="s">
        <v>57</v>
      </c>
      <c r="N183" s="5" t="s">
        <v>58</v>
      </c>
      <c r="O183" s="5" t="s">
        <v>42</v>
      </c>
      <c r="P183" s="5" t="s">
        <v>15</v>
      </c>
      <c r="Q183" s="5" t="s">
        <v>17</v>
      </c>
      <c r="R183" s="5" t="s">
        <v>43</v>
      </c>
      <c r="S183" s="5" t="s">
        <v>21</v>
      </c>
      <c r="T183" s="6" t="s">
        <v>23</v>
      </c>
      <c r="U183" s="6">
        <v>1</v>
      </c>
      <c r="V183" s="6" t="s">
        <v>26</v>
      </c>
      <c r="W183" s="6">
        <v>1</v>
      </c>
      <c r="X183" s="6" t="s">
        <v>46</v>
      </c>
      <c r="Y183">
        <v>1</v>
      </c>
      <c r="Z183" s="5" t="s">
        <v>46</v>
      </c>
      <c r="AA183" s="5" t="s">
        <v>46</v>
      </c>
      <c r="AB183" s="5" t="s">
        <v>46</v>
      </c>
    </row>
    <row r="184" spans="1:28" x14ac:dyDescent="0.35">
      <c r="A184" s="8" t="s">
        <v>1290</v>
      </c>
      <c r="B184" s="5" t="s">
        <v>220</v>
      </c>
      <c r="C184">
        <v>1973</v>
      </c>
      <c r="D184">
        <f t="shared" ca="1" si="5"/>
        <v>52</v>
      </c>
      <c r="E184" s="5" t="s">
        <v>28</v>
      </c>
      <c r="F184" t="s">
        <v>29</v>
      </c>
      <c r="G184" t="str">
        <f t="shared" si="3"/>
        <v>&lt;500.000</v>
      </c>
      <c r="H184" t="s">
        <v>30</v>
      </c>
      <c r="I184">
        <v>2</v>
      </c>
      <c r="J184" t="s">
        <v>72</v>
      </c>
      <c r="K184" s="5" t="s">
        <v>38</v>
      </c>
      <c r="L184" s="5" t="s">
        <v>11</v>
      </c>
      <c r="M184" s="5" t="s">
        <v>57</v>
      </c>
      <c r="N184" s="5" t="s">
        <v>58</v>
      </c>
      <c r="O184" s="5" t="s">
        <v>42</v>
      </c>
      <c r="P184" s="5" t="s">
        <v>15</v>
      </c>
      <c r="Q184" s="5" t="s">
        <v>17</v>
      </c>
      <c r="R184" s="5" t="s">
        <v>43</v>
      </c>
      <c r="S184" s="5" t="s">
        <v>21</v>
      </c>
      <c r="T184" s="6" t="s">
        <v>23</v>
      </c>
      <c r="U184" s="6">
        <v>1</v>
      </c>
      <c r="V184" s="6" t="s">
        <v>26</v>
      </c>
      <c r="W184" s="6">
        <v>1</v>
      </c>
      <c r="X184" s="6" t="s">
        <v>46</v>
      </c>
      <c r="Y184">
        <v>1</v>
      </c>
      <c r="Z184" s="5" t="s">
        <v>46</v>
      </c>
      <c r="AA184" s="5" t="s">
        <v>46</v>
      </c>
      <c r="AB184" s="5" t="s">
        <v>46</v>
      </c>
    </row>
    <row r="185" spans="1:28" x14ac:dyDescent="0.35">
      <c r="A185" s="8" t="s">
        <v>1291</v>
      </c>
      <c r="B185" s="5" t="s">
        <v>263</v>
      </c>
      <c r="C185">
        <v>1976</v>
      </c>
      <c r="D185">
        <f t="shared" ca="1" si="5"/>
        <v>49</v>
      </c>
      <c r="E185" s="5" t="s">
        <v>6</v>
      </c>
      <c r="F185" t="s">
        <v>162</v>
      </c>
      <c r="G185" t="str">
        <f t="shared" si="3"/>
        <v>1.000.000–2.000.000</v>
      </c>
      <c r="H185" t="s">
        <v>7</v>
      </c>
      <c r="I185">
        <v>2</v>
      </c>
      <c r="J185" t="s">
        <v>8</v>
      </c>
      <c r="K185" s="5" t="s">
        <v>10</v>
      </c>
      <c r="L185" s="5" t="s">
        <v>11</v>
      </c>
      <c r="M185" s="5" t="s">
        <v>40</v>
      </c>
      <c r="N185" s="5" t="s">
        <v>37</v>
      </c>
      <c r="O185" s="5" t="s">
        <v>42</v>
      </c>
      <c r="P185" s="5" t="s">
        <v>15</v>
      </c>
      <c r="Q185" s="5" t="s">
        <v>17</v>
      </c>
      <c r="R185" s="5" t="s">
        <v>43</v>
      </c>
      <c r="S185" s="5" t="s">
        <v>21</v>
      </c>
      <c r="T185" s="6" t="s">
        <v>23</v>
      </c>
      <c r="U185" s="6">
        <v>1</v>
      </c>
      <c r="V185" s="6" t="s">
        <v>26</v>
      </c>
      <c r="W185" s="6">
        <v>1</v>
      </c>
      <c r="X185" s="6" t="s">
        <v>46</v>
      </c>
      <c r="Y185">
        <v>1</v>
      </c>
      <c r="Z185" s="5" t="s">
        <v>46</v>
      </c>
      <c r="AA185" s="5" t="s">
        <v>46</v>
      </c>
      <c r="AB185" s="5" t="s">
        <v>46</v>
      </c>
    </row>
    <row r="186" spans="1:28" x14ac:dyDescent="0.35">
      <c r="A186" s="8" t="s">
        <v>1292</v>
      </c>
      <c r="B186" s="5" t="s">
        <v>264</v>
      </c>
      <c r="C186">
        <v>1981</v>
      </c>
      <c r="D186">
        <f t="shared" ca="1" si="5"/>
        <v>44</v>
      </c>
      <c r="E186" s="5" t="s">
        <v>28</v>
      </c>
      <c r="F186" t="s">
        <v>119</v>
      </c>
      <c r="G186" t="str">
        <f t="shared" si="3"/>
        <v>500.000–1.000.000</v>
      </c>
      <c r="H186" t="s">
        <v>7</v>
      </c>
      <c r="I186">
        <v>2</v>
      </c>
      <c r="J186" t="s">
        <v>8</v>
      </c>
      <c r="K186" s="5" t="s">
        <v>10</v>
      </c>
      <c r="L186" s="5" t="s">
        <v>11</v>
      </c>
      <c r="M186" s="5" t="s">
        <v>40</v>
      </c>
      <c r="N186" s="5" t="s">
        <v>37</v>
      </c>
      <c r="O186" s="5" t="s">
        <v>42</v>
      </c>
      <c r="P186" s="5" t="s">
        <v>15</v>
      </c>
      <c r="Q186" s="5" t="s">
        <v>17</v>
      </c>
      <c r="R186" s="5" t="s">
        <v>43</v>
      </c>
      <c r="S186" s="5" t="s">
        <v>21</v>
      </c>
      <c r="T186" s="6" t="s">
        <v>23</v>
      </c>
      <c r="U186" s="6">
        <v>1</v>
      </c>
      <c r="V186" s="6" t="s">
        <v>26</v>
      </c>
      <c r="W186" s="6">
        <v>1</v>
      </c>
      <c r="X186" s="6" t="s">
        <v>46</v>
      </c>
      <c r="Y186">
        <v>1</v>
      </c>
      <c r="Z186" s="5" t="s">
        <v>46</v>
      </c>
      <c r="AA186" s="5" t="s">
        <v>46</v>
      </c>
      <c r="AB186" s="5" t="s">
        <v>46</v>
      </c>
    </row>
    <row r="187" spans="1:28" x14ac:dyDescent="0.35">
      <c r="A187" s="8" t="s">
        <v>1293</v>
      </c>
      <c r="B187" s="5" t="s">
        <v>265</v>
      </c>
      <c r="C187">
        <v>1987</v>
      </c>
      <c r="D187">
        <f t="shared" ca="1" si="5"/>
        <v>38</v>
      </c>
      <c r="E187" s="5" t="s">
        <v>6</v>
      </c>
      <c r="F187" t="s">
        <v>29</v>
      </c>
      <c r="G187" t="str">
        <f t="shared" si="3"/>
        <v>&lt;500.000</v>
      </c>
      <c r="H187" t="s">
        <v>63</v>
      </c>
      <c r="I187">
        <v>4</v>
      </c>
      <c r="J187" t="s">
        <v>8</v>
      </c>
      <c r="K187" s="5" t="s">
        <v>114</v>
      </c>
      <c r="L187" s="5" t="s">
        <v>11</v>
      </c>
      <c r="M187" s="5" t="s">
        <v>57</v>
      </c>
      <c r="N187" s="5" t="s">
        <v>58</v>
      </c>
      <c r="O187" s="5" t="s">
        <v>42</v>
      </c>
      <c r="P187" s="5" t="s">
        <v>15</v>
      </c>
      <c r="Q187" s="5" t="s">
        <v>17</v>
      </c>
      <c r="R187" s="5" t="s">
        <v>43</v>
      </c>
      <c r="S187" s="5" t="s">
        <v>21</v>
      </c>
      <c r="T187" s="6" t="s">
        <v>84</v>
      </c>
      <c r="U187" s="6">
        <v>1</v>
      </c>
      <c r="V187" s="6" t="s">
        <v>26</v>
      </c>
      <c r="W187" s="6">
        <v>1</v>
      </c>
      <c r="X187" s="6" t="s">
        <v>46</v>
      </c>
      <c r="Y187">
        <v>3</v>
      </c>
      <c r="Z187" s="5" t="s">
        <v>46</v>
      </c>
      <c r="AA187" s="5" t="s">
        <v>46</v>
      </c>
      <c r="AB187" s="5" t="s">
        <v>46</v>
      </c>
    </row>
    <row r="188" spans="1:28" x14ac:dyDescent="0.35">
      <c r="A188" s="8" t="s">
        <v>1294</v>
      </c>
      <c r="B188" s="5" t="s">
        <v>266</v>
      </c>
      <c r="C188">
        <v>1984</v>
      </c>
      <c r="D188">
        <f t="shared" ca="1" si="5"/>
        <v>41</v>
      </c>
      <c r="E188" s="5" t="s">
        <v>28</v>
      </c>
      <c r="F188" t="s">
        <v>29</v>
      </c>
      <c r="G188" t="str">
        <f t="shared" si="3"/>
        <v>&lt;500.000</v>
      </c>
      <c r="H188" t="s">
        <v>30</v>
      </c>
      <c r="I188">
        <v>4</v>
      </c>
      <c r="J188" t="s">
        <v>8</v>
      </c>
      <c r="K188" s="5" t="s">
        <v>114</v>
      </c>
      <c r="L188" s="5" t="s">
        <v>11</v>
      </c>
      <c r="M188" s="5" t="s">
        <v>57</v>
      </c>
      <c r="N188" s="5" t="s">
        <v>58</v>
      </c>
      <c r="O188" s="5" t="s">
        <v>42</v>
      </c>
      <c r="P188" s="5" t="s">
        <v>15</v>
      </c>
      <c r="Q188" s="5" t="s">
        <v>17</v>
      </c>
      <c r="R188" s="5" t="s">
        <v>43</v>
      </c>
      <c r="S188" s="5" t="s">
        <v>21</v>
      </c>
      <c r="T188" s="6" t="s">
        <v>84</v>
      </c>
      <c r="U188" s="6">
        <v>1</v>
      </c>
      <c r="V188" s="6" t="s">
        <v>26</v>
      </c>
      <c r="W188" s="6">
        <v>1</v>
      </c>
      <c r="X188" s="6" t="s">
        <v>46</v>
      </c>
      <c r="Y188">
        <v>3</v>
      </c>
      <c r="Z188" s="5" t="s">
        <v>46</v>
      </c>
      <c r="AA188" s="5" t="s">
        <v>46</v>
      </c>
      <c r="AB188" s="5" t="s">
        <v>46</v>
      </c>
    </row>
    <row r="189" spans="1:28" x14ac:dyDescent="0.35">
      <c r="A189" s="8" t="s">
        <v>1295</v>
      </c>
      <c r="B189" s="5" t="s">
        <v>267</v>
      </c>
      <c r="C189">
        <v>1996</v>
      </c>
      <c r="D189">
        <f t="shared" ca="1" si="5"/>
        <v>29</v>
      </c>
      <c r="E189" s="5" t="s">
        <v>6</v>
      </c>
      <c r="F189" t="s">
        <v>137</v>
      </c>
      <c r="G189" t="str">
        <f t="shared" si="3"/>
        <v>500.000–1.000.000</v>
      </c>
      <c r="H189" t="s">
        <v>30</v>
      </c>
      <c r="I189">
        <v>3</v>
      </c>
      <c r="J189" t="s">
        <v>72</v>
      </c>
      <c r="K189" s="5" t="s">
        <v>38</v>
      </c>
      <c r="L189" s="5" t="s">
        <v>11</v>
      </c>
      <c r="M189" s="5" t="s">
        <v>57</v>
      </c>
      <c r="N189" s="5" t="s">
        <v>58</v>
      </c>
      <c r="O189" s="5" t="s">
        <v>42</v>
      </c>
      <c r="P189" s="5" t="s">
        <v>15</v>
      </c>
      <c r="Q189" s="5" t="s">
        <v>17</v>
      </c>
      <c r="R189" s="5" t="s">
        <v>43</v>
      </c>
      <c r="S189" s="5" t="s">
        <v>21</v>
      </c>
      <c r="T189" s="6" t="s">
        <v>23</v>
      </c>
      <c r="U189" s="6">
        <v>1</v>
      </c>
      <c r="V189" s="6" t="s">
        <v>249</v>
      </c>
      <c r="W189" s="6">
        <v>1</v>
      </c>
      <c r="X189" s="6" t="s">
        <v>46</v>
      </c>
      <c r="Y189">
        <v>1</v>
      </c>
      <c r="Z189" s="5" t="s">
        <v>64</v>
      </c>
      <c r="AA189" s="5" t="s">
        <v>46</v>
      </c>
      <c r="AB189" s="5" t="s">
        <v>46</v>
      </c>
    </row>
    <row r="190" spans="1:28" x14ac:dyDescent="0.35">
      <c r="A190" s="8" t="s">
        <v>1296</v>
      </c>
      <c r="B190" s="5" t="s">
        <v>268</v>
      </c>
      <c r="C190">
        <v>1999</v>
      </c>
      <c r="D190">
        <f t="shared" ca="1" si="5"/>
        <v>26</v>
      </c>
      <c r="E190" s="5" t="s">
        <v>28</v>
      </c>
      <c r="F190" t="s">
        <v>29</v>
      </c>
      <c r="G190" t="str">
        <f t="shared" si="3"/>
        <v>500.000–1.000.000</v>
      </c>
      <c r="H190" t="s">
        <v>7</v>
      </c>
      <c r="I190">
        <v>3</v>
      </c>
      <c r="J190" t="s">
        <v>72</v>
      </c>
      <c r="K190" s="5" t="s">
        <v>38</v>
      </c>
      <c r="L190" s="5" t="s">
        <v>11</v>
      </c>
      <c r="M190" s="5" t="s">
        <v>57</v>
      </c>
      <c r="N190" s="5" t="s">
        <v>58</v>
      </c>
      <c r="O190" s="5" t="s">
        <v>42</v>
      </c>
      <c r="P190" s="5" t="s">
        <v>15</v>
      </c>
      <c r="Q190" s="5" t="s">
        <v>17</v>
      </c>
      <c r="R190" s="5" t="s">
        <v>43</v>
      </c>
      <c r="S190" s="5" t="s">
        <v>21</v>
      </c>
      <c r="T190" s="6" t="s">
        <v>23</v>
      </c>
      <c r="U190" s="6">
        <v>1</v>
      </c>
      <c r="V190" s="6" t="s">
        <v>249</v>
      </c>
      <c r="W190" s="6">
        <v>1</v>
      </c>
      <c r="X190" s="6" t="s">
        <v>46</v>
      </c>
      <c r="Y190">
        <v>1</v>
      </c>
      <c r="Z190" s="5" t="s">
        <v>64</v>
      </c>
      <c r="AA190" s="5" t="s">
        <v>46</v>
      </c>
      <c r="AB190" s="5" t="s">
        <v>46</v>
      </c>
    </row>
    <row r="191" spans="1:28" x14ac:dyDescent="0.35">
      <c r="A191" s="8" t="s">
        <v>1297</v>
      </c>
      <c r="B191" s="5" t="s">
        <v>269</v>
      </c>
      <c r="C191">
        <v>1976</v>
      </c>
      <c r="D191">
        <f t="shared" ca="1" si="5"/>
        <v>49</v>
      </c>
      <c r="E191" s="5" t="s">
        <v>6</v>
      </c>
      <c r="F191" t="s">
        <v>29</v>
      </c>
      <c r="G191" t="str">
        <f t="shared" si="3"/>
        <v>&lt;500.000</v>
      </c>
      <c r="H191" t="s">
        <v>63</v>
      </c>
      <c r="I191">
        <v>4</v>
      </c>
      <c r="J191" t="s">
        <v>8</v>
      </c>
      <c r="K191" s="5" t="s">
        <v>38</v>
      </c>
      <c r="L191" s="5" t="s">
        <v>49</v>
      </c>
      <c r="M191" s="5" t="s">
        <v>57</v>
      </c>
      <c r="N191" s="5" t="s">
        <v>58</v>
      </c>
      <c r="O191" s="5" t="s">
        <v>42</v>
      </c>
      <c r="P191" s="5" t="s">
        <v>15</v>
      </c>
      <c r="Q191" s="5" t="s">
        <v>17</v>
      </c>
      <c r="R191" s="5" t="s">
        <v>43</v>
      </c>
      <c r="S191" s="5" t="s">
        <v>21</v>
      </c>
      <c r="T191" s="6" t="s">
        <v>23</v>
      </c>
      <c r="U191" s="6">
        <v>1</v>
      </c>
      <c r="V191" s="6" t="s">
        <v>26</v>
      </c>
      <c r="W191" s="6">
        <v>1</v>
      </c>
      <c r="X191" s="6" t="s">
        <v>46</v>
      </c>
      <c r="Y191">
        <v>2</v>
      </c>
      <c r="Z191" s="5" t="s">
        <v>46</v>
      </c>
      <c r="AA191" s="5" t="s">
        <v>46</v>
      </c>
      <c r="AB191" s="5" t="s">
        <v>46</v>
      </c>
    </row>
    <row r="192" spans="1:28" x14ac:dyDescent="0.35">
      <c r="A192" s="8" t="s">
        <v>1298</v>
      </c>
      <c r="B192" s="5" t="s">
        <v>270</v>
      </c>
      <c r="C192">
        <v>1981</v>
      </c>
      <c r="D192">
        <f t="shared" ca="1" si="5"/>
        <v>44</v>
      </c>
      <c r="E192" s="5" t="s">
        <v>28</v>
      </c>
      <c r="F192" t="s">
        <v>137</v>
      </c>
      <c r="G192" t="str">
        <f t="shared" si="3"/>
        <v>500.000–1.000.000</v>
      </c>
      <c r="H192" t="s">
        <v>7</v>
      </c>
      <c r="I192">
        <v>4</v>
      </c>
      <c r="J192" t="s">
        <v>8</v>
      </c>
      <c r="K192" s="5" t="s">
        <v>38</v>
      </c>
      <c r="L192" s="5" t="s">
        <v>49</v>
      </c>
      <c r="M192" s="5" t="s">
        <v>57</v>
      </c>
      <c r="N192" s="5" t="s">
        <v>58</v>
      </c>
      <c r="O192" s="5" t="s">
        <v>42</v>
      </c>
      <c r="P192" s="5" t="s">
        <v>15</v>
      </c>
      <c r="Q192" s="5" t="s">
        <v>17</v>
      </c>
      <c r="R192" s="5" t="s">
        <v>43</v>
      </c>
      <c r="S192" s="5" t="s">
        <v>21</v>
      </c>
      <c r="T192" s="6" t="s">
        <v>23</v>
      </c>
      <c r="U192" s="6">
        <v>1</v>
      </c>
      <c r="V192" s="6" t="s">
        <v>26</v>
      </c>
      <c r="W192" s="6">
        <v>1</v>
      </c>
      <c r="X192" s="6" t="s">
        <v>46</v>
      </c>
      <c r="Y192">
        <v>2</v>
      </c>
      <c r="Z192" s="5" t="s">
        <v>46</v>
      </c>
      <c r="AA192" s="5" t="s">
        <v>46</v>
      </c>
      <c r="AB192" s="5" t="s">
        <v>46</v>
      </c>
    </row>
    <row r="193" spans="1:28" x14ac:dyDescent="0.35">
      <c r="A193" s="8" t="s">
        <v>1299</v>
      </c>
      <c r="B193" s="5" t="s">
        <v>271</v>
      </c>
      <c r="C193">
        <v>1980</v>
      </c>
      <c r="D193">
        <f t="shared" ca="1" si="5"/>
        <v>45</v>
      </c>
      <c r="E193" s="5" t="s">
        <v>6</v>
      </c>
      <c r="F193" t="s">
        <v>29</v>
      </c>
      <c r="G193" t="str">
        <f t="shared" ref="G193:G256" si="6">IF(OR(
    F193="Tidak bekerja",
    F193="Pekerja keluarga/Tidak dibayar"),
    IF(OR(H193="Tidak Sekolah", H193="SD"), "&lt;500.000", "500.000–1.000.000"),
IF(OR(
    F193="Pekerja Bebas Pertanian",
    F193="Pekerja Bebas non-Pertanian"),
    IF(OR(H193="Tidak Sekolah", H193="SD", H193="SMP"), "500.000–1.000.000", "1.000.000–2.000.000"),
IF(F193="Buruh/Karyawan/Pegawai Swasta",
    IF(OR(H193="SD", H193="SMP"), "500.000–1.000.000",
       IF(OR(H193="SMA/SMK", H193="D1/2/3"), "1.000.000–2.000.000", "2.000.000–3.000.000")
    ),
IF(F193="Berusaha Sendiri",
    IF(OR(H193="SD", H193="SMP"), "500.000–1.000.000", "1.000.000–2.000.000"),
IF(F193="Berusaha dibantu buruh tidak tetap/Tidak dibayar", "1.000.000–2.000.000",
IF(F193="Berusaha dibantu buruh tetap/Dibayar", "2.000.000–3.000.000",
IF(F193="PNS/TNI/Polri/BUMN/BUMD/Anggota Legislatif", "2.000.000–3.000.000",
""
)))))))</f>
        <v>&lt;500.000</v>
      </c>
      <c r="H193" t="s">
        <v>63</v>
      </c>
      <c r="I193">
        <v>1</v>
      </c>
      <c r="J193" t="s">
        <v>8</v>
      </c>
      <c r="K193" s="5" t="s">
        <v>38</v>
      </c>
      <c r="L193" s="5" t="s">
        <v>49</v>
      </c>
      <c r="M193" s="5" t="s">
        <v>57</v>
      </c>
      <c r="N193" s="5" t="s">
        <v>58</v>
      </c>
      <c r="O193" s="5" t="s">
        <v>42</v>
      </c>
      <c r="P193" s="5" t="s">
        <v>15</v>
      </c>
      <c r="Q193" s="5" t="s">
        <v>17</v>
      </c>
      <c r="R193" s="5" t="s">
        <v>43</v>
      </c>
      <c r="S193" s="5" t="s">
        <v>21</v>
      </c>
      <c r="T193" s="6" t="s">
        <v>73</v>
      </c>
      <c r="U193" s="6">
        <v>0</v>
      </c>
      <c r="V193" s="6" t="s">
        <v>117</v>
      </c>
      <c r="W193" s="6">
        <v>1</v>
      </c>
      <c r="X193" s="6" t="s">
        <v>60</v>
      </c>
      <c r="Y193">
        <v>1</v>
      </c>
      <c r="Z193" s="5" t="s">
        <v>46</v>
      </c>
      <c r="AA193" s="5" t="s">
        <v>46</v>
      </c>
      <c r="AB193" s="5" t="s">
        <v>46</v>
      </c>
    </row>
    <row r="194" spans="1:28" x14ac:dyDescent="0.35">
      <c r="A194" s="8" t="s">
        <v>1300</v>
      </c>
      <c r="B194" s="5" t="s">
        <v>272</v>
      </c>
      <c r="C194">
        <v>1980</v>
      </c>
      <c r="D194">
        <f t="shared" ca="1" si="5"/>
        <v>45</v>
      </c>
      <c r="E194" s="5" t="s">
        <v>28</v>
      </c>
      <c r="F194" t="s">
        <v>151</v>
      </c>
      <c r="G194" t="str">
        <f t="shared" si="6"/>
        <v>500.000–1.000.000</v>
      </c>
      <c r="H194" t="s">
        <v>7</v>
      </c>
      <c r="I194">
        <v>1</v>
      </c>
      <c r="J194" t="s">
        <v>8</v>
      </c>
      <c r="K194" s="5" t="s">
        <v>38</v>
      </c>
      <c r="L194" s="5" t="s">
        <v>49</v>
      </c>
      <c r="M194" s="5" t="s">
        <v>57</v>
      </c>
      <c r="N194" s="5" t="s">
        <v>58</v>
      </c>
      <c r="O194" s="5" t="s">
        <v>42</v>
      </c>
      <c r="P194" s="5" t="s">
        <v>15</v>
      </c>
      <c r="Q194" s="5" t="s">
        <v>17</v>
      </c>
      <c r="R194" s="5" t="s">
        <v>43</v>
      </c>
      <c r="S194" s="5" t="s">
        <v>21</v>
      </c>
      <c r="T194" s="6" t="s">
        <v>73</v>
      </c>
      <c r="U194" s="6">
        <v>0</v>
      </c>
      <c r="V194" s="6" t="s">
        <v>117</v>
      </c>
      <c r="W194" s="6">
        <v>1</v>
      </c>
      <c r="X194" s="6" t="s">
        <v>60</v>
      </c>
      <c r="Y194">
        <v>1</v>
      </c>
      <c r="Z194" s="5" t="s">
        <v>46</v>
      </c>
      <c r="AA194" s="5" t="s">
        <v>46</v>
      </c>
      <c r="AB194" s="5" t="s">
        <v>35</v>
      </c>
    </row>
    <row r="195" spans="1:28" x14ac:dyDescent="0.35">
      <c r="A195" s="8" t="s">
        <v>1301</v>
      </c>
      <c r="B195" s="5" t="s">
        <v>273</v>
      </c>
      <c r="C195">
        <v>1956</v>
      </c>
      <c r="D195">
        <f t="shared" ca="1" si="5"/>
        <v>69</v>
      </c>
      <c r="E195" s="5" t="s">
        <v>6</v>
      </c>
      <c r="F195" t="s">
        <v>55</v>
      </c>
      <c r="G195" t="str">
        <f t="shared" si="6"/>
        <v>500.000–1.000.000</v>
      </c>
      <c r="H195" t="s">
        <v>7</v>
      </c>
      <c r="I195">
        <v>0</v>
      </c>
      <c r="J195" t="s">
        <v>8</v>
      </c>
      <c r="K195" s="5" t="s">
        <v>38</v>
      </c>
      <c r="L195" s="5" t="s">
        <v>49</v>
      </c>
      <c r="M195" s="5" t="s">
        <v>57</v>
      </c>
      <c r="N195" s="5" t="s">
        <v>58</v>
      </c>
      <c r="O195" s="5" t="s">
        <v>42</v>
      </c>
      <c r="P195" s="5" t="s">
        <v>15</v>
      </c>
      <c r="Q195" s="5" t="s">
        <v>17</v>
      </c>
      <c r="R195" s="5" t="s">
        <v>43</v>
      </c>
      <c r="S195" s="5" t="s">
        <v>21</v>
      </c>
      <c r="T195" s="6" t="s">
        <v>73</v>
      </c>
      <c r="U195" s="6">
        <v>0</v>
      </c>
      <c r="V195" s="6" t="s">
        <v>117</v>
      </c>
      <c r="W195" s="6">
        <v>1</v>
      </c>
      <c r="X195" s="6" t="s">
        <v>46</v>
      </c>
      <c r="Y195">
        <v>0</v>
      </c>
      <c r="Z195" s="5" t="s">
        <v>46</v>
      </c>
      <c r="AA195" s="5" t="s">
        <v>44</v>
      </c>
      <c r="AB195" s="5" t="s">
        <v>74</v>
      </c>
    </row>
    <row r="196" spans="1:28" x14ac:dyDescent="0.35">
      <c r="A196" s="8" t="s">
        <v>1302</v>
      </c>
      <c r="B196" s="5" t="s">
        <v>274</v>
      </c>
      <c r="C196">
        <v>1968</v>
      </c>
      <c r="D196">
        <f t="shared" ca="1" si="5"/>
        <v>57</v>
      </c>
      <c r="E196" s="5" t="s">
        <v>6</v>
      </c>
      <c r="F196" t="s">
        <v>29</v>
      </c>
      <c r="G196" t="str">
        <f t="shared" si="6"/>
        <v>&lt;500.000</v>
      </c>
      <c r="H196" t="s">
        <v>30</v>
      </c>
      <c r="I196">
        <v>0</v>
      </c>
      <c r="J196" t="s">
        <v>8</v>
      </c>
      <c r="K196" s="5" t="s">
        <v>114</v>
      </c>
      <c r="L196" s="5" t="s">
        <v>11</v>
      </c>
      <c r="M196" s="5" t="s">
        <v>57</v>
      </c>
      <c r="N196" s="5" t="s">
        <v>58</v>
      </c>
      <c r="O196" s="5" t="s">
        <v>42</v>
      </c>
      <c r="P196" s="5" t="s">
        <v>15</v>
      </c>
      <c r="Q196" s="5" t="s">
        <v>17</v>
      </c>
      <c r="R196" s="5" t="s">
        <v>43</v>
      </c>
      <c r="S196" s="5" t="s">
        <v>21</v>
      </c>
      <c r="T196" s="6" t="s">
        <v>73</v>
      </c>
      <c r="U196" s="6">
        <v>0</v>
      </c>
      <c r="V196" s="6" t="s">
        <v>73</v>
      </c>
      <c r="W196" s="6">
        <v>0</v>
      </c>
      <c r="X196" s="6" t="s">
        <v>46</v>
      </c>
      <c r="Y196">
        <v>0</v>
      </c>
      <c r="Z196" s="5" t="s">
        <v>46</v>
      </c>
      <c r="AA196" s="5" t="s">
        <v>46</v>
      </c>
      <c r="AB196" s="5" t="s">
        <v>46</v>
      </c>
    </row>
    <row r="197" spans="1:28" x14ac:dyDescent="0.35">
      <c r="A197" s="8" t="s">
        <v>1303</v>
      </c>
      <c r="B197" s="5" t="s">
        <v>275</v>
      </c>
      <c r="C197">
        <v>1977</v>
      </c>
      <c r="D197">
        <f t="shared" ca="1" si="5"/>
        <v>48</v>
      </c>
      <c r="E197" s="5" t="s">
        <v>6</v>
      </c>
      <c r="F197" t="s">
        <v>137</v>
      </c>
      <c r="G197" t="str">
        <f t="shared" si="6"/>
        <v>500.000–1.000.000</v>
      </c>
      <c r="H197" t="s">
        <v>30</v>
      </c>
      <c r="I197">
        <v>4</v>
      </c>
      <c r="J197" t="s">
        <v>8</v>
      </c>
      <c r="K197" s="5" t="s">
        <v>38</v>
      </c>
      <c r="L197" s="5" t="s">
        <v>11</v>
      </c>
      <c r="M197" s="5" t="s">
        <v>57</v>
      </c>
      <c r="N197" s="5" t="s">
        <v>58</v>
      </c>
      <c r="O197" s="5" t="s">
        <v>42</v>
      </c>
      <c r="P197" s="5" t="s">
        <v>15</v>
      </c>
      <c r="Q197" s="5" t="s">
        <v>17</v>
      </c>
      <c r="R197" s="5" t="s">
        <v>43</v>
      </c>
      <c r="S197" s="5" t="s">
        <v>21</v>
      </c>
      <c r="T197" s="6" t="s">
        <v>23</v>
      </c>
      <c r="U197" s="6">
        <v>1</v>
      </c>
      <c r="V197" s="6" t="s">
        <v>26</v>
      </c>
      <c r="W197" s="6">
        <v>1</v>
      </c>
      <c r="X197" s="6" t="s">
        <v>60</v>
      </c>
      <c r="Y197">
        <v>1</v>
      </c>
      <c r="Z197" s="5" t="s">
        <v>46</v>
      </c>
      <c r="AA197" s="5" t="s">
        <v>46</v>
      </c>
      <c r="AB197" s="5" t="s">
        <v>46</v>
      </c>
    </row>
    <row r="198" spans="1:28" x14ac:dyDescent="0.35">
      <c r="A198" s="8" t="s">
        <v>1304</v>
      </c>
      <c r="B198" s="5" t="s">
        <v>276</v>
      </c>
      <c r="C198">
        <v>1980</v>
      </c>
      <c r="D198">
        <f t="shared" ca="1" si="5"/>
        <v>45</v>
      </c>
      <c r="E198" s="5" t="s">
        <v>28</v>
      </c>
      <c r="F198" t="s">
        <v>29</v>
      </c>
      <c r="G198" t="str">
        <f t="shared" si="6"/>
        <v>500.000–1.000.000</v>
      </c>
      <c r="H198" t="s">
        <v>139</v>
      </c>
      <c r="I198">
        <v>4</v>
      </c>
      <c r="J198" t="s">
        <v>8</v>
      </c>
      <c r="K198" s="5" t="s">
        <v>38</v>
      </c>
      <c r="L198" s="5" t="s">
        <v>11</v>
      </c>
      <c r="M198" s="5" t="s">
        <v>57</v>
      </c>
      <c r="N198" s="5" t="s">
        <v>58</v>
      </c>
      <c r="O198" s="5" t="s">
        <v>42</v>
      </c>
      <c r="P198" s="5" t="s">
        <v>15</v>
      </c>
      <c r="Q198" s="5" t="s">
        <v>17</v>
      </c>
      <c r="R198" s="5" t="s">
        <v>43</v>
      </c>
      <c r="S198" s="5" t="s">
        <v>21</v>
      </c>
      <c r="T198" s="6" t="s">
        <v>23</v>
      </c>
      <c r="U198" s="6">
        <v>1</v>
      </c>
      <c r="V198" s="6" t="s">
        <v>26</v>
      </c>
      <c r="W198" s="6">
        <v>1</v>
      </c>
      <c r="X198" s="6" t="s">
        <v>60</v>
      </c>
      <c r="Y198">
        <v>1</v>
      </c>
      <c r="Z198" s="5" t="s">
        <v>46</v>
      </c>
      <c r="AA198" s="5" t="s">
        <v>46</v>
      </c>
      <c r="AB198" s="5" t="s">
        <v>46</v>
      </c>
    </row>
    <row r="199" spans="1:28" x14ac:dyDescent="0.35">
      <c r="A199" s="8" t="s">
        <v>1305</v>
      </c>
      <c r="B199" s="5" t="s">
        <v>277</v>
      </c>
      <c r="C199">
        <v>1977</v>
      </c>
      <c r="D199">
        <f t="shared" ca="1" si="5"/>
        <v>48</v>
      </c>
      <c r="E199" s="5" t="s">
        <v>6</v>
      </c>
      <c r="F199" t="s">
        <v>137</v>
      </c>
      <c r="G199" t="str">
        <f t="shared" si="6"/>
        <v>500.000–1.000.000</v>
      </c>
      <c r="H199" t="s">
        <v>7</v>
      </c>
      <c r="I199">
        <v>2</v>
      </c>
      <c r="J199" t="s">
        <v>8</v>
      </c>
      <c r="K199" s="5" t="s">
        <v>38</v>
      </c>
      <c r="L199" s="5" t="s">
        <v>11</v>
      </c>
      <c r="M199" s="5" t="s">
        <v>57</v>
      </c>
      <c r="N199" s="5" t="s">
        <v>58</v>
      </c>
      <c r="O199" s="5" t="s">
        <v>42</v>
      </c>
      <c r="P199" s="5" t="s">
        <v>15</v>
      </c>
      <c r="Q199" s="5" t="s">
        <v>17</v>
      </c>
      <c r="R199" s="5" t="s">
        <v>43</v>
      </c>
      <c r="S199" s="5" t="s">
        <v>21</v>
      </c>
      <c r="T199" s="6" t="s">
        <v>23</v>
      </c>
      <c r="U199" s="6">
        <v>1</v>
      </c>
      <c r="V199" s="6" t="s">
        <v>26</v>
      </c>
      <c r="W199" s="6">
        <v>1</v>
      </c>
      <c r="X199" s="6" t="s">
        <v>44</v>
      </c>
      <c r="Y199">
        <v>1</v>
      </c>
      <c r="Z199" s="5" t="s">
        <v>46</v>
      </c>
      <c r="AA199" s="5" t="s">
        <v>46</v>
      </c>
      <c r="AB199" s="5" t="s">
        <v>46</v>
      </c>
    </row>
    <row r="200" spans="1:28" x14ac:dyDescent="0.35">
      <c r="A200" s="8" t="s">
        <v>1306</v>
      </c>
      <c r="B200" s="5" t="s">
        <v>278</v>
      </c>
      <c r="C200">
        <v>1976</v>
      </c>
      <c r="D200">
        <f t="shared" ca="1" si="5"/>
        <v>49</v>
      </c>
      <c r="E200" s="5" t="s">
        <v>28</v>
      </c>
      <c r="F200" t="s">
        <v>29</v>
      </c>
      <c r="G200" t="str">
        <f t="shared" si="6"/>
        <v>&lt;500.000</v>
      </c>
      <c r="H200" t="s">
        <v>30</v>
      </c>
      <c r="I200">
        <v>2</v>
      </c>
      <c r="J200" t="s">
        <v>8</v>
      </c>
      <c r="K200" s="5" t="s">
        <v>38</v>
      </c>
      <c r="L200" s="5" t="s">
        <v>11</v>
      </c>
      <c r="M200" s="5" t="s">
        <v>57</v>
      </c>
      <c r="N200" s="5" t="s">
        <v>58</v>
      </c>
      <c r="O200" s="5" t="s">
        <v>42</v>
      </c>
      <c r="P200" s="5" t="s">
        <v>15</v>
      </c>
      <c r="Q200" s="5" t="s">
        <v>17</v>
      </c>
      <c r="R200" s="5" t="s">
        <v>43</v>
      </c>
      <c r="S200" s="5" t="s">
        <v>21</v>
      </c>
      <c r="T200" s="6" t="s">
        <v>23</v>
      </c>
      <c r="U200" s="6">
        <v>1</v>
      </c>
      <c r="V200" s="6" t="s">
        <v>26</v>
      </c>
      <c r="W200" s="6">
        <v>1</v>
      </c>
      <c r="X200" s="6" t="s">
        <v>44</v>
      </c>
      <c r="Y200">
        <v>1</v>
      </c>
      <c r="Z200" s="5" t="s">
        <v>46</v>
      </c>
      <c r="AA200" s="5" t="s">
        <v>46</v>
      </c>
      <c r="AB200" s="5" t="s">
        <v>46</v>
      </c>
    </row>
    <row r="201" spans="1:28" x14ac:dyDescent="0.35">
      <c r="A201" s="8" t="s">
        <v>1307</v>
      </c>
      <c r="B201" s="5" t="s">
        <v>279</v>
      </c>
      <c r="C201">
        <v>1984</v>
      </c>
      <c r="D201">
        <f t="shared" ca="1" si="5"/>
        <v>41</v>
      </c>
      <c r="E201" s="5" t="s">
        <v>6</v>
      </c>
      <c r="F201" t="s">
        <v>55</v>
      </c>
      <c r="G201" t="str">
        <f t="shared" si="6"/>
        <v>500.000–1.000.000</v>
      </c>
      <c r="H201" t="s">
        <v>7</v>
      </c>
      <c r="I201">
        <v>1</v>
      </c>
      <c r="J201" t="s">
        <v>48</v>
      </c>
      <c r="K201" s="5" t="s">
        <v>114</v>
      </c>
      <c r="L201" s="5" t="s">
        <v>11</v>
      </c>
      <c r="M201" s="5" t="s">
        <v>57</v>
      </c>
      <c r="N201" s="5" t="s">
        <v>58</v>
      </c>
      <c r="O201" s="5" t="s">
        <v>42</v>
      </c>
      <c r="P201" s="5" t="s">
        <v>15</v>
      </c>
      <c r="Q201" s="5" t="s">
        <v>17</v>
      </c>
      <c r="R201" s="5" t="s">
        <v>280</v>
      </c>
      <c r="S201" s="5" t="s">
        <v>21</v>
      </c>
      <c r="T201" s="6" t="s">
        <v>73</v>
      </c>
      <c r="U201" s="6">
        <v>0</v>
      </c>
      <c r="V201" s="6" t="s">
        <v>26</v>
      </c>
      <c r="W201" s="6">
        <v>1</v>
      </c>
      <c r="X201" s="6" t="s">
        <v>46</v>
      </c>
      <c r="Y201">
        <v>1</v>
      </c>
      <c r="Z201" s="5" t="s">
        <v>46</v>
      </c>
      <c r="AA201" s="5" t="s">
        <v>46</v>
      </c>
      <c r="AB201" s="5" t="s">
        <v>46</v>
      </c>
    </row>
    <row r="202" spans="1:28" x14ac:dyDescent="0.35">
      <c r="A202" s="8" t="s">
        <v>1308</v>
      </c>
      <c r="B202" s="5" t="s">
        <v>281</v>
      </c>
      <c r="C202">
        <v>1984</v>
      </c>
      <c r="D202">
        <f t="shared" ca="1" si="5"/>
        <v>41</v>
      </c>
      <c r="E202" s="5" t="s">
        <v>28</v>
      </c>
      <c r="F202" t="s">
        <v>29</v>
      </c>
      <c r="G202" t="str">
        <f t="shared" si="6"/>
        <v>500.000–1.000.000</v>
      </c>
      <c r="H202" t="s">
        <v>7</v>
      </c>
      <c r="I202">
        <v>1</v>
      </c>
      <c r="J202" t="s">
        <v>48</v>
      </c>
      <c r="K202" s="5" t="s">
        <v>114</v>
      </c>
      <c r="L202" s="5" t="s">
        <v>11</v>
      </c>
      <c r="M202" s="5" t="s">
        <v>57</v>
      </c>
      <c r="N202" s="5" t="s">
        <v>58</v>
      </c>
      <c r="O202" s="5" t="s">
        <v>42</v>
      </c>
      <c r="P202" s="5" t="s">
        <v>15</v>
      </c>
      <c r="Q202" s="5" t="s">
        <v>17</v>
      </c>
      <c r="R202" s="5" t="s">
        <v>280</v>
      </c>
      <c r="S202" s="5" t="s">
        <v>21</v>
      </c>
      <c r="T202" s="6" t="s">
        <v>73</v>
      </c>
      <c r="U202" s="6">
        <v>0</v>
      </c>
      <c r="V202" s="6" t="s">
        <v>26</v>
      </c>
      <c r="W202" s="6">
        <v>1</v>
      </c>
      <c r="X202" s="6" t="s">
        <v>46</v>
      </c>
      <c r="Y202">
        <v>1</v>
      </c>
      <c r="Z202" s="5" t="s">
        <v>46</v>
      </c>
      <c r="AA202" s="5" t="s">
        <v>46</v>
      </c>
      <c r="AB202" s="5" t="s">
        <v>46</v>
      </c>
    </row>
    <row r="203" spans="1:28" x14ac:dyDescent="0.35">
      <c r="A203" s="8" t="s">
        <v>1309</v>
      </c>
      <c r="B203" s="5" t="s">
        <v>282</v>
      </c>
      <c r="C203">
        <v>1995</v>
      </c>
      <c r="D203">
        <f t="shared" ca="1" si="5"/>
        <v>30</v>
      </c>
      <c r="E203" s="5" t="s">
        <v>6</v>
      </c>
      <c r="F203" t="s">
        <v>29</v>
      </c>
      <c r="G203" t="str">
        <f t="shared" si="6"/>
        <v>&lt;500.000</v>
      </c>
      <c r="H203" t="s">
        <v>63</v>
      </c>
      <c r="I203">
        <v>0</v>
      </c>
      <c r="J203" t="s">
        <v>48</v>
      </c>
      <c r="K203" s="5" t="s">
        <v>38</v>
      </c>
      <c r="L203" s="5" t="s">
        <v>11</v>
      </c>
      <c r="M203" s="5" t="s">
        <v>57</v>
      </c>
      <c r="N203" s="5" t="s">
        <v>58</v>
      </c>
      <c r="O203" s="5" t="s">
        <v>42</v>
      </c>
      <c r="P203" s="5" t="s">
        <v>15</v>
      </c>
      <c r="Q203" s="5" t="s">
        <v>17</v>
      </c>
      <c r="R203" s="5" t="s">
        <v>43</v>
      </c>
      <c r="S203" s="5" t="s">
        <v>21</v>
      </c>
      <c r="T203" s="6" t="s">
        <v>73</v>
      </c>
      <c r="U203" s="6">
        <v>0</v>
      </c>
      <c r="V203" s="6" t="s">
        <v>76</v>
      </c>
      <c r="W203" s="6">
        <v>1</v>
      </c>
      <c r="X203" s="6" t="s">
        <v>46</v>
      </c>
      <c r="Y203">
        <v>0</v>
      </c>
      <c r="Z203" s="5" t="s">
        <v>46</v>
      </c>
      <c r="AA203" s="5" t="s">
        <v>46</v>
      </c>
      <c r="AB203" s="5" t="s">
        <v>46</v>
      </c>
    </row>
    <row r="204" spans="1:28" x14ac:dyDescent="0.35">
      <c r="A204" s="8" t="s">
        <v>1310</v>
      </c>
      <c r="B204" s="5" t="s">
        <v>283</v>
      </c>
      <c r="C204">
        <v>1997</v>
      </c>
      <c r="D204">
        <f t="shared" ca="1" si="5"/>
        <v>28</v>
      </c>
      <c r="E204" s="5" t="s">
        <v>28</v>
      </c>
      <c r="F204" t="s">
        <v>162</v>
      </c>
      <c r="G204" t="str">
        <f t="shared" si="6"/>
        <v>1.000.000–2.000.000</v>
      </c>
      <c r="H204" t="s">
        <v>7</v>
      </c>
      <c r="I204">
        <v>0</v>
      </c>
      <c r="J204" t="s">
        <v>48</v>
      </c>
      <c r="K204" s="5" t="s">
        <v>38</v>
      </c>
      <c r="L204" s="5" t="s">
        <v>11</v>
      </c>
      <c r="M204" s="5" t="s">
        <v>57</v>
      </c>
      <c r="N204" s="5" t="s">
        <v>58</v>
      </c>
      <c r="O204" s="5" t="s">
        <v>42</v>
      </c>
      <c r="P204" s="5" t="s">
        <v>15</v>
      </c>
      <c r="Q204" s="5" t="s">
        <v>17</v>
      </c>
      <c r="R204" s="5" t="s">
        <v>43</v>
      </c>
      <c r="S204" s="5" t="s">
        <v>21</v>
      </c>
      <c r="T204" s="6" t="s">
        <v>73</v>
      </c>
      <c r="U204" s="6">
        <v>0</v>
      </c>
      <c r="V204" s="6" t="s">
        <v>76</v>
      </c>
      <c r="W204" s="6">
        <v>1</v>
      </c>
      <c r="X204" s="6" t="s">
        <v>46</v>
      </c>
      <c r="Y204">
        <v>0</v>
      </c>
      <c r="Z204" s="5" t="s">
        <v>46</v>
      </c>
      <c r="AA204" s="5" t="s">
        <v>46</v>
      </c>
      <c r="AB204" s="5" t="s">
        <v>46</v>
      </c>
    </row>
    <row r="205" spans="1:28" x14ac:dyDescent="0.35">
      <c r="A205" s="8" t="s">
        <v>1311</v>
      </c>
      <c r="B205" s="5" t="s">
        <v>284</v>
      </c>
      <c r="C205">
        <v>1955</v>
      </c>
      <c r="D205">
        <f t="shared" ca="1" si="5"/>
        <v>70</v>
      </c>
      <c r="E205" s="5" t="s">
        <v>6</v>
      </c>
      <c r="F205" t="s">
        <v>29</v>
      </c>
      <c r="G205" t="str">
        <f t="shared" si="6"/>
        <v>&lt;500.000</v>
      </c>
      <c r="H205" t="s">
        <v>63</v>
      </c>
      <c r="I205">
        <v>0</v>
      </c>
      <c r="J205" t="s">
        <v>8</v>
      </c>
      <c r="K205" s="5" t="s">
        <v>38</v>
      </c>
      <c r="L205" s="5" t="s">
        <v>39</v>
      </c>
      <c r="M205" s="5" t="s">
        <v>57</v>
      </c>
      <c r="N205" s="5" t="s">
        <v>58</v>
      </c>
      <c r="O205" s="5" t="s">
        <v>42</v>
      </c>
      <c r="P205" s="5" t="s">
        <v>15</v>
      </c>
      <c r="Q205" s="5" t="s">
        <v>17</v>
      </c>
      <c r="R205" s="5" t="s">
        <v>43</v>
      </c>
      <c r="S205" s="5" t="s">
        <v>21</v>
      </c>
      <c r="T205" s="6" t="s">
        <v>73</v>
      </c>
      <c r="U205" s="6">
        <v>0</v>
      </c>
      <c r="V205" s="6" t="s">
        <v>73</v>
      </c>
      <c r="W205" s="6">
        <v>0</v>
      </c>
      <c r="X205" s="6" t="s">
        <v>46</v>
      </c>
      <c r="Y205">
        <v>0</v>
      </c>
      <c r="Z205" s="5" t="s">
        <v>46</v>
      </c>
      <c r="AA205" s="5" t="s">
        <v>64</v>
      </c>
      <c r="AB205" s="5" t="s">
        <v>46</v>
      </c>
    </row>
    <row r="206" spans="1:28" x14ac:dyDescent="0.35">
      <c r="A206" s="8" t="s">
        <v>1312</v>
      </c>
      <c r="B206" s="5" t="s">
        <v>285</v>
      </c>
      <c r="C206">
        <v>1953</v>
      </c>
      <c r="D206">
        <f t="shared" ca="1" si="5"/>
        <v>72</v>
      </c>
      <c r="E206" s="5" t="s">
        <v>28</v>
      </c>
      <c r="F206" t="s">
        <v>151</v>
      </c>
      <c r="G206" t="str">
        <f t="shared" si="6"/>
        <v>500.000–1.000.000</v>
      </c>
      <c r="H206" t="s">
        <v>30</v>
      </c>
      <c r="I206">
        <v>0</v>
      </c>
      <c r="J206" t="s">
        <v>8</v>
      </c>
      <c r="K206" s="5" t="s">
        <v>38</v>
      </c>
      <c r="L206" s="5" t="s">
        <v>39</v>
      </c>
      <c r="M206" s="5" t="s">
        <v>57</v>
      </c>
      <c r="N206" s="5" t="s">
        <v>58</v>
      </c>
      <c r="O206" s="5" t="s">
        <v>42</v>
      </c>
      <c r="P206" s="5" t="s">
        <v>15</v>
      </c>
      <c r="Q206" s="5" t="s">
        <v>17</v>
      </c>
      <c r="R206" s="5" t="s">
        <v>43</v>
      </c>
      <c r="S206" s="5" t="s">
        <v>21</v>
      </c>
      <c r="T206" s="6" t="s">
        <v>73</v>
      </c>
      <c r="U206" s="6">
        <v>0</v>
      </c>
      <c r="V206" s="6" t="s">
        <v>73</v>
      </c>
      <c r="W206" s="6">
        <v>0</v>
      </c>
      <c r="X206" s="6" t="s">
        <v>46</v>
      </c>
      <c r="Y206">
        <v>0</v>
      </c>
      <c r="Z206" s="5" t="s">
        <v>46</v>
      </c>
      <c r="AA206" s="5" t="s">
        <v>64</v>
      </c>
      <c r="AB206" s="5" t="s">
        <v>46</v>
      </c>
    </row>
    <row r="207" spans="1:28" x14ac:dyDescent="0.35">
      <c r="A207" s="8" t="s">
        <v>1313</v>
      </c>
      <c r="B207" s="5" t="s">
        <v>286</v>
      </c>
      <c r="C207">
        <v>1971</v>
      </c>
      <c r="D207">
        <f t="shared" ca="1" si="5"/>
        <v>54</v>
      </c>
      <c r="E207" s="5" t="s">
        <v>6</v>
      </c>
      <c r="F207" t="s">
        <v>54</v>
      </c>
      <c r="G207" t="str">
        <f t="shared" si="6"/>
        <v>500.000–1.000.000</v>
      </c>
      <c r="H207" t="s">
        <v>7</v>
      </c>
      <c r="I207">
        <v>1</v>
      </c>
      <c r="J207" t="s">
        <v>8</v>
      </c>
      <c r="K207" s="5" t="s">
        <v>114</v>
      </c>
      <c r="L207" s="5" t="s">
        <v>11</v>
      </c>
      <c r="M207" s="5" t="s">
        <v>57</v>
      </c>
      <c r="N207" s="5" t="s">
        <v>58</v>
      </c>
      <c r="O207" s="5" t="s">
        <v>42</v>
      </c>
      <c r="P207" s="5" t="s">
        <v>15</v>
      </c>
      <c r="Q207" s="5" t="s">
        <v>17</v>
      </c>
      <c r="R207" s="5" t="s">
        <v>43</v>
      </c>
      <c r="S207" s="5" t="s">
        <v>21</v>
      </c>
      <c r="T207" s="6" t="s">
        <v>23</v>
      </c>
      <c r="U207" s="6">
        <v>1</v>
      </c>
      <c r="V207" s="6" t="s">
        <v>26</v>
      </c>
      <c r="W207" s="6">
        <v>1</v>
      </c>
      <c r="X207" s="6" t="s">
        <v>46</v>
      </c>
      <c r="Y207">
        <v>1</v>
      </c>
      <c r="Z207" s="5" t="s">
        <v>46</v>
      </c>
      <c r="AA207" s="5" t="s">
        <v>44</v>
      </c>
      <c r="AB207" s="5" t="s">
        <v>74</v>
      </c>
    </row>
    <row r="208" spans="1:28" x14ac:dyDescent="0.35">
      <c r="A208" s="8" t="s">
        <v>1314</v>
      </c>
      <c r="B208" s="5" t="s">
        <v>287</v>
      </c>
      <c r="C208">
        <v>1964</v>
      </c>
      <c r="D208">
        <f t="shared" ca="1" si="5"/>
        <v>61</v>
      </c>
      <c r="E208" s="5" t="s">
        <v>28</v>
      </c>
      <c r="F208" t="s">
        <v>29</v>
      </c>
      <c r="G208" t="str">
        <f t="shared" si="6"/>
        <v>500.000–1.000.000</v>
      </c>
      <c r="H208" t="s">
        <v>7</v>
      </c>
      <c r="I208">
        <v>1</v>
      </c>
      <c r="J208" t="s">
        <v>8</v>
      </c>
      <c r="K208" s="5" t="s">
        <v>114</v>
      </c>
      <c r="L208" s="5" t="s">
        <v>11</v>
      </c>
      <c r="M208" s="5" t="s">
        <v>57</v>
      </c>
      <c r="N208" s="5" t="s">
        <v>58</v>
      </c>
      <c r="O208" s="5" t="s">
        <v>42</v>
      </c>
      <c r="P208" s="5" t="s">
        <v>15</v>
      </c>
      <c r="Q208" s="5" t="s">
        <v>17</v>
      </c>
      <c r="R208" s="5" t="s">
        <v>43</v>
      </c>
      <c r="S208" s="5" t="s">
        <v>21</v>
      </c>
      <c r="T208" s="6" t="s">
        <v>23</v>
      </c>
      <c r="U208" s="6">
        <v>1</v>
      </c>
      <c r="V208" s="6" t="s">
        <v>26</v>
      </c>
      <c r="W208" s="6">
        <v>1</v>
      </c>
      <c r="X208" s="6" t="s">
        <v>46</v>
      </c>
      <c r="Y208">
        <v>1</v>
      </c>
      <c r="Z208" s="5" t="s">
        <v>46</v>
      </c>
      <c r="AA208" s="5" t="s">
        <v>44</v>
      </c>
      <c r="AB208" s="5" t="s">
        <v>35</v>
      </c>
    </row>
    <row r="209" spans="1:28" x14ac:dyDescent="0.35">
      <c r="A209" s="8" t="s">
        <v>1315</v>
      </c>
      <c r="B209" s="5" t="s">
        <v>288</v>
      </c>
      <c r="C209">
        <v>1982</v>
      </c>
      <c r="D209">
        <f t="shared" ca="1" si="5"/>
        <v>43</v>
      </c>
      <c r="E209" s="5" t="s">
        <v>6</v>
      </c>
      <c r="F209" t="s">
        <v>151</v>
      </c>
      <c r="G209" t="str">
        <f t="shared" si="6"/>
        <v>500.000–1.000.000</v>
      </c>
      <c r="H209" t="s">
        <v>7</v>
      </c>
      <c r="I209">
        <v>3</v>
      </c>
      <c r="J209" t="s">
        <v>8</v>
      </c>
      <c r="K209" s="5" t="s">
        <v>114</v>
      </c>
      <c r="L209" s="5" t="s">
        <v>11</v>
      </c>
      <c r="M209" s="5" t="s">
        <v>57</v>
      </c>
      <c r="N209" s="5" t="s">
        <v>58</v>
      </c>
      <c r="O209" s="5" t="s">
        <v>42</v>
      </c>
      <c r="P209" s="5" t="s">
        <v>15</v>
      </c>
      <c r="Q209" s="5" t="s">
        <v>17</v>
      </c>
      <c r="R209" s="5" t="s">
        <v>43</v>
      </c>
      <c r="S209" s="5" t="s">
        <v>21</v>
      </c>
      <c r="T209" s="6" t="s">
        <v>23</v>
      </c>
      <c r="U209" s="6">
        <v>1</v>
      </c>
      <c r="V209" s="6" t="s">
        <v>26</v>
      </c>
      <c r="W209" s="6">
        <v>1</v>
      </c>
      <c r="X209" s="6" t="s">
        <v>46</v>
      </c>
      <c r="Y209">
        <v>3</v>
      </c>
      <c r="Z209" s="5" t="s">
        <v>46</v>
      </c>
      <c r="AA209" s="5" t="s">
        <v>46</v>
      </c>
      <c r="AB209" s="5" t="s">
        <v>46</v>
      </c>
    </row>
    <row r="210" spans="1:28" x14ac:dyDescent="0.35">
      <c r="A210" s="8" t="s">
        <v>1316</v>
      </c>
      <c r="B210" s="5" t="s">
        <v>289</v>
      </c>
      <c r="C210">
        <v>1954</v>
      </c>
      <c r="D210">
        <f t="shared" ca="1" si="5"/>
        <v>71</v>
      </c>
      <c r="E210" s="5" t="s">
        <v>6</v>
      </c>
      <c r="F210" t="s">
        <v>29</v>
      </c>
      <c r="G210" t="str">
        <f t="shared" si="6"/>
        <v>&lt;500.000</v>
      </c>
      <c r="H210" t="s">
        <v>63</v>
      </c>
      <c r="I210">
        <v>0</v>
      </c>
      <c r="J210" t="s">
        <v>8</v>
      </c>
      <c r="K210" s="5" t="s">
        <v>38</v>
      </c>
      <c r="L210" s="5" t="s">
        <v>49</v>
      </c>
      <c r="M210" s="5" t="s">
        <v>57</v>
      </c>
      <c r="N210" s="5" t="s">
        <v>58</v>
      </c>
      <c r="O210" s="5" t="s">
        <v>89</v>
      </c>
      <c r="P210" s="5" t="s">
        <v>15</v>
      </c>
      <c r="Q210" s="5" t="s">
        <v>17</v>
      </c>
      <c r="R210" s="5" t="s">
        <v>43</v>
      </c>
      <c r="S210" s="5" t="s">
        <v>21</v>
      </c>
      <c r="T210" s="6" t="s">
        <v>73</v>
      </c>
      <c r="U210" s="6">
        <v>0</v>
      </c>
      <c r="V210" s="6" t="s">
        <v>73</v>
      </c>
      <c r="W210" s="6">
        <v>0</v>
      </c>
      <c r="X210" s="6" t="s">
        <v>46</v>
      </c>
      <c r="Y210">
        <v>0</v>
      </c>
      <c r="Z210" s="5" t="s">
        <v>46</v>
      </c>
      <c r="AA210" s="5" t="s">
        <v>44</v>
      </c>
      <c r="AB210" s="5" t="s">
        <v>46</v>
      </c>
    </row>
    <row r="211" spans="1:28" x14ac:dyDescent="0.35">
      <c r="A211" s="8" t="s">
        <v>1317</v>
      </c>
      <c r="B211" s="5" t="s">
        <v>290</v>
      </c>
      <c r="C211">
        <v>1990</v>
      </c>
      <c r="D211">
        <f t="shared" ca="1" si="5"/>
        <v>35</v>
      </c>
      <c r="E211" s="5" t="s">
        <v>6</v>
      </c>
      <c r="F211" t="s">
        <v>54</v>
      </c>
      <c r="G211" t="str">
        <f t="shared" si="6"/>
        <v>500.000–1.000.000</v>
      </c>
      <c r="H211" t="s">
        <v>30</v>
      </c>
      <c r="I211">
        <v>1</v>
      </c>
      <c r="J211" t="s">
        <v>48</v>
      </c>
      <c r="K211" s="5" t="s">
        <v>38</v>
      </c>
      <c r="L211" s="5" t="s">
        <v>11</v>
      </c>
      <c r="M211" s="5" t="s">
        <v>57</v>
      </c>
      <c r="N211" s="5" t="s">
        <v>58</v>
      </c>
      <c r="O211" s="5" t="s">
        <v>42</v>
      </c>
      <c r="P211" s="5" t="s">
        <v>15</v>
      </c>
      <c r="Q211" s="5" t="s">
        <v>17</v>
      </c>
      <c r="R211" s="5" t="s">
        <v>43</v>
      </c>
      <c r="S211" s="5" t="s">
        <v>21</v>
      </c>
      <c r="T211" s="6" t="s">
        <v>23</v>
      </c>
      <c r="U211" s="6">
        <v>1</v>
      </c>
      <c r="V211" s="6" t="s">
        <v>76</v>
      </c>
      <c r="W211" s="6">
        <v>1</v>
      </c>
      <c r="X211" s="6" t="s">
        <v>46</v>
      </c>
      <c r="Y211">
        <v>0</v>
      </c>
      <c r="Z211" s="5" t="s">
        <v>44</v>
      </c>
      <c r="AA211" s="5" t="s">
        <v>46</v>
      </c>
      <c r="AB211" s="5" t="s">
        <v>46</v>
      </c>
    </row>
    <row r="212" spans="1:28" x14ac:dyDescent="0.35">
      <c r="A212" s="8" t="s">
        <v>1318</v>
      </c>
      <c r="B212" s="5" t="s">
        <v>291</v>
      </c>
      <c r="C212">
        <v>2000</v>
      </c>
      <c r="D212">
        <f t="shared" ca="1" si="5"/>
        <v>25</v>
      </c>
      <c r="E212" s="5" t="s">
        <v>28</v>
      </c>
      <c r="F212" t="s">
        <v>29</v>
      </c>
      <c r="G212" t="str">
        <f t="shared" si="6"/>
        <v>500.000–1.000.000</v>
      </c>
      <c r="H212" t="s">
        <v>7</v>
      </c>
      <c r="I212">
        <v>1</v>
      </c>
      <c r="J212" t="s">
        <v>48</v>
      </c>
      <c r="K212" s="5" t="s">
        <v>38</v>
      </c>
      <c r="L212" s="5" t="s">
        <v>11</v>
      </c>
      <c r="M212" s="5" t="s">
        <v>57</v>
      </c>
      <c r="N212" s="5" t="s">
        <v>58</v>
      </c>
      <c r="O212" s="5" t="s">
        <v>42</v>
      </c>
      <c r="P212" s="5" t="s">
        <v>15</v>
      </c>
      <c r="Q212" s="5" t="s">
        <v>17</v>
      </c>
      <c r="R212" s="5" t="s">
        <v>43</v>
      </c>
      <c r="S212" s="5" t="s">
        <v>21</v>
      </c>
      <c r="T212" s="6" t="s">
        <v>23</v>
      </c>
      <c r="U212" s="6">
        <v>1</v>
      </c>
      <c r="V212" s="6" t="s">
        <v>76</v>
      </c>
      <c r="W212" s="6">
        <v>1</v>
      </c>
      <c r="X212" s="6" t="s">
        <v>46</v>
      </c>
      <c r="Y212">
        <v>0</v>
      </c>
      <c r="Z212" s="5" t="s">
        <v>44</v>
      </c>
      <c r="AA212" s="5" t="s">
        <v>46</v>
      </c>
      <c r="AB212" s="5" t="s">
        <v>46</v>
      </c>
    </row>
    <row r="213" spans="1:28" x14ac:dyDescent="0.35">
      <c r="A213" s="8" t="s">
        <v>1319</v>
      </c>
      <c r="B213" s="5" t="s">
        <v>292</v>
      </c>
      <c r="C213">
        <v>1954</v>
      </c>
      <c r="D213">
        <f t="shared" ca="1" si="5"/>
        <v>71</v>
      </c>
      <c r="E213" s="5" t="s">
        <v>6</v>
      </c>
      <c r="F213" t="s">
        <v>29</v>
      </c>
      <c r="G213" t="str">
        <f t="shared" si="6"/>
        <v>&lt;500.000</v>
      </c>
      <c r="H213" t="s">
        <v>30</v>
      </c>
      <c r="I213">
        <v>0</v>
      </c>
      <c r="J213" t="s">
        <v>8</v>
      </c>
      <c r="K213" s="5" t="s">
        <v>38</v>
      </c>
      <c r="L213" s="5" t="s">
        <v>11</v>
      </c>
      <c r="M213" s="5" t="s">
        <v>57</v>
      </c>
      <c r="N213" s="5" t="s">
        <v>58</v>
      </c>
      <c r="O213" s="5" t="s">
        <v>293</v>
      </c>
      <c r="P213" s="5" t="s">
        <v>15</v>
      </c>
      <c r="Q213" s="5" t="s">
        <v>17</v>
      </c>
      <c r="R213" s="5" t="s">
        <v>43</v>
      </c>
      <c r="S213" s="5" t="s">
        <v>21</v>
      </c>
      <c r="T213" s="6" t="s">
        <v>73</v>
      </c>
      <c r="U213" s="6">
        <v>0</v>
      </c>
      <c r="V213" s="6" t="s">
        <v>73</v>
      </c>
      <c r="W213" s="6">
        <v>0</v>
      </c>
      <c r="X213" s="6" t="s">
        <v>46</v>
      </c>
      <c r="Y213">
        <v>0</v>
      </c>
      <c r="Z213" s="5" t="s">
        <v>46</v>
      </c>
      <c r="AA213" s="5" t="s">
        <v>44</v>
      </c>
      <c r="AB213" s="5" t="s">
        <v>35</v>
      </c>
    </row>
    <row r="214" spans="1:28" x14ac:dyDescent="0.35">
      <c r="A214" s="8" t="s">
        <v>1320</v>
      </c>
      <c r="B214" s="5" t="s">
        <v>294</v>
      </c>
      <c r="C214">
        <v>1998</v>
      </c>
      <c r="D214">
        <f t="shared" ca="1" si="5"/>
        <v>27</v>
      </c>
      <c r="E214" s="5" t="s">
        <v>6</v>
      </c>
      <c r="F214" t="s">
        <v>54</v>
      </c>
      <c r="G214" t="str">
        <f t="shared" si="6"/>
        <v>1.000.000–2.000.000</v>
      </c>
      <c r="H214" t="s">
        <v>139</v>
      </c>
      <c r="I214">
        <v>1</v>
      </c>
      <c r="J214" t="s">
        <v>48</v>
      </c>
      <c r="K214" s="5" t="s">
        <v>295</v>
      </c>
      <c r="L214" s="5" t="s">
        <v>39</v>
      </c>
      <c r="M214" s="5" t="s">
        <v>40</v>
      </c>
      <c r="N214" s="5" t="s">
        <v>37</v>
      </c>
      <c r="O214" s="5" t="s">
        <v>42</v>
      </c>
      <c r="P214" s="5" t="s">
        <v>15</v>
      </c>
      <c r="Q214" s="5" t="s">
        <v>17</v>
      </c>
      <c r="R214" s="5" t="s">
        <v>87</v>
      </c>
      <c r="S214" s="5" t="s">
        <v>21</v>
      </c>
      <c r="T214" s="6" t="s">
        <v>23</v>
      </c>
      <c r="U214" s="6">
        <v>1</v>
      </c>
      <c r="V214" s="6" t="s">
        <v>296</v>
      </c>
      <c r="W214" s="6">
        <v>1</v>
      </c>
      <c r="X214" s="6" t="s">
        <v>46</v>
      </c>
      <c r="Y214">
        <v>0</v>
      </c>
      <c r="Z214" s="5" t="s">
        <v>44</v>
      </c>
      <c r="AA214" s="5" t="s">
        <v>46</v>
      </c>
      <c r="AB214" s="5" t="s">
        <v>46</v>
      </c>
    </row>
    <row r="215" spans="1:28" x14ac:dyDescent="0.35">
      <c r="A215" s="8" t="s">
        <v>1321</v>
      </c>
      <c r="B215" s="5" t="s">
        <v>297</v>
      </c>
      <c r="C215">
        <v>2001</v>
      </c>
      <c r="D215">
        <f t="shared" ca="1" si="5"/>
        <v>24</v>
      </c>
      <c r="E215" s="5" t="s">
        <v>28</v>
      </c>
      <c r="F215" t="s">
        <v>162</v>
      </c>
      <c r="G215" t="str">
        <f t="shared" si="6"/>
        <v>1.000.000–2.000.000</v>
      </c>
      <c r="H215" t="s">
        <v>139</v>
      </c>
      <c r="I215">
        <v>1</v>
      </c>
      <c r="J215" t="s">
        <v>48</v>
      </c>
      <c r="K215" s="5" t="s">
        <v>295</v>
      </c>
      <c r="L215" s="5" t="s">
        <v>39</v>
      </c>
      <c r="M215" s="5" t="s">
        <v>40</v>
      </c>
      <c r="N215" s="5" t="s">
        <v>37</v>
      </c>
      <c r="O215" s="5" t="s">
        <v>42</v>
      </c>
      <c r="P215" s="5" t="s">
        <v>15</v>
      </c>
      <c r="Q215" s="5" t="s">
        <v>17</v>
      </c>
      <c r="R215" s="5" t="s">
        <v>87</v>
      </c>
      <c r="S215" s="5" t="s">
        <v>21</v>
      </c>
      <c r="T215" s="6" t="s">
        <v>23</v>
      </c>
      <c r="U215" s="6">
        <v>1</v>
      </c>
      <c r="V215" s="6" t="s">
        <v>296</v>
      </c>
      <c r="W215" s="6">
        <v>1</v>
      </c>
      <c r="X215" s="6" t="s">
        <v>46</v>
      </c>
      <c r="Y215">
        <v>0</v>
      </c>
      <c r="Z215" s="5" t="s">
        <v>44</v>
      </c>
      <c r="AA215" s="5" t="s">
        <v>46</v>
      </c>
      <c r="AB215" s="5" t="s">
        <v>74</v>
      </c>
    </row>
    <row r="216" spans="1:28" x14ac:dyDescent="0.35">
      <c r="A216" s="8" t="s">
        <v>1322</v>
      </c>
      <c r="B216" s="5" t="s">
        <v>298</v>
      </c>
      <c r="C216">
        <v>1980</v>
      </c>
      <c r="D216">
        <f t="shared" ca="1" si="5"/>
        <v>45</v>
      </c>
      <c r="E216" s="5" t="s">
        <v>6</v>
      </c>
      <c r="F216" t="s">
        <v>54</v>
      </c>
      <c r="G216" t="str">
        <f t="shared" si="6"/>
        <v>1.000.000–2.000.000</v>
      </c>
      <c r="H216" t="s">
        <v>139</v>
      </c>
      <c r="I216">
        <v>2</v>
      </c>
      <c r="J216" t="s">
        <v>8</v>
      </c>
      <c r="K216" s="5" t="s">
        <v>38</v>
      </c>
      <c r="L216" s="5" t="s">
        <v>11</v>
      </c>
      <c r="M216" s="5" t="s">
        <v>57</v>
      </c>
      <c r="N216" s="5" t="s">
        <v>58</v>
      </c>
      <c r="O216" s="5" t="s">
        <v>42</v>
      </c>
      <c r="P216" s="5" t="s">
        <v>15</v>
      </c>
      <c r="Q216" s="5" t="s">
        <v>17</v>
      </c>
      <c r="R216" s="5" t="s">
        <v>43</v>
      </c>
      <c r="S216" s="5" t="s">
        <v>21</v>
      </c>
      <c r="T216" s="6" t="s">
        <v>23</v>
      </c>
      <c r="U216" s="6">
        <v>1</v>
      </c>
      <c r="V216" s="6" t="s">
        <v>117</v>
      </c>
      <c r="W216" s="6">
        <v>1</v>
      </c>
      <c r="X216" s="6" t="s">
        <v>46</v>
      </c>
      <c r="Y216">
        <v>2</v>
      </c>
      <c r="Z216" s="5" t="s">
        <v>46</v>
      </c>
      <c r="AA216" s="5" t="s">
        <v>46</v>
      </c>
      <c r="AB216" s="5" t="s">
        <v>46</v>
      </c>
    </row>
    <row r="217" spans="1:28" x14ac:dyDescent="0.35">
      <c r="A217" s="8" t="s">
        <v>1323</v>
      </c>
      <c r="B217" s="5" t="s">
        <v>299</v>
      </c>
      <c r="C217">
        <v>1952</v>
      </c>
      <c r="D217">
        <f t="shared" ca="1" si="5"/>
        <v>73</v>
      </c>
      <c r="E217" s="5" t="s">
        <v>6</v>
      </c>
      <c r="F217" t="s">
        <v>137</v>
      </c>
      <c r="G217" t="str">
        <f t="shared" si="6"/>
        <v>500.000–1.000.000</v>
      </c>
      <c r="H217" t="s">
        <v>30</v>
      </c>
      <c r="I217">
        <v>0</v>
      </c>
      <c r="J217" t="s">
        <v>8</v>
      </c>
      <c r="K217" s="5" t="s">
        <v>38</v>
      </c>
      <c r="L217" s="5" t="s">
        <v>49</v>
      </c>
      <c r="M217" s="5" t="s">
        <v>57</v>
      </c>
      <c r="N217" s="5" t="s">
        <v>58</v>
      </c>
      <c r="O217" s="5" t="s">
        <v>42</v>
      </c>
      <c r="P217" s="5" t="s">
        <v>15</v>
      </c>
      <c r="Q217" s="5" t="s">
        <v>17</v>
      </c>
      <c r="R217" s="5" t="s">
        <v>43</v>
      </c>
      <c r="S217" s="5" t="s">
        <v>21</v>
      </c>
      <c r="T217" s="6" t="s">
        <v>73</v>
      </c>
      <c r="U217" s="6">
        <v>0</v>
      </c>
      <c r="V217" s="6" t="s">
        <v>117</v>
      </c>
      <c r="W217" s="6">
        <v>1</v>
      </c>
      <c r="X217" s="6" t="s">
        <v>46</v>
      </c>
      <c r="Y217">
        <v>0</v>
      </c>
      <c r="Z217" s="5" t="s">
        <v>46</v>
      </c>
      <c r="AA217" s="5" t="s">
        <v>64</v>
      </c>
      <c r="AB217" s="5" t="s">
        <v>74</v>
      </c>
    </row>
    <row r="218" spans="1:28" x14ac:dyDescent="0.35">
      <c r="A218" s="8" t="s">
        <v>1324</v>
      </c>
      <c r="B218" s="5" t="s">
        <v>300</v>
      </c>
      <c r="C218">
        <v>1958</v>
      </c>
      <c r="D218">
        <f t="shared" ca="1" si="5"/>
        <v>67</v>
      </c>
      <c r="E218" s="5" t="s">
        <v>28</v>
      </c>
      <c r="F218" t="s">
        <v>29</v>
      </c>
      <c r="G218" t="str">
        <f t="shared" si="6"/>
        <v>&lt;500.000</v>
      </c>
      <c r="H218" t="s">
        <v>63</v>
      </c>
      <c r="I218">
        <v>0</v>
      </c>
      <c r="J218" t="s">
        <v>8</v>
      </c>
      <c r="K218" s="5" t="s">
        <v>38</v>
      </c>
      <c r="L218" s="5" t="s">
        <v>49</v>
      </c>
      <c r="M218" s="5" t="s">
        <v>57</v>
      </c>
      <c r="N218" s="5" t="s">
        <v>58</v>
      </c>
      <c r="O218" s="5" t="s">
        <v>42</v>
      </c>
      <c r="P218" s="5" t="s">
        <v>15</v>
      </c>
      <c r="Q218" s="5" t="s">
        <v>17</v>
      </c>
      <c r="R218" s="5" t="s">
        <v>43</v>
      </c>
      <c r="S218" s="5" t="s">
        <v>21</v>
      </c>
      <c r="T218" s="6" t="s">
        <v>73</v>
      </c>
      <c r="U218" s="6">
        <v>0</v>
      </c>
      <c r="V218" s="6" t="s">
        <v>117</v>
      </c>
      <c r="W218" s="6">
        <v>1</v>
      </c>
      <c r="X218" s="6" t="s">
        <v>46</v>
      </c>
      <c r="Y218">
        <v>0</v>
      </c>
      <c r="Z218" s="5" t="s">
        <v>46</v>
      </c>
      <c r="AA218" s="5" t="s">
        <v>64</v>
      </c>
      <c r="AB218" s="5" t="s">
        <v>74</v>
      </c>
    </row>
    <row r="219" spans="1:28" x14ac:dyDescent="0.35">
      <c r="A219" s="8" t="s">
        <v>1325</v>
      </c>
      <c r="B219" s="5" t="s">
        <v>301</v>
      </c>
      <c r="C219">
        <v>1973</v>
      </c>
      <c r="D219">
        <f t="shared" ca="1" si="5"/>
        <v>52</v>
      </c>
      <c r="E219" s="5" t="s">
        <v>6</v>
      </c>
      <c r="F219" t="s">
        <v>29</v>
      </c>
      <c r="G219" t="str">
        <f t="shared" si="6"/>
        <v>&lt;500.000</v>
      </c>
      <c r="H219" t="s">
        <v>63</v>
      </c>
      <c r="I219">
        <v>1</v>
      </c>
      <c r="J219" t="s">
        <v>8</v>
      </c>
      <c r="K219" s="5" t="s">
        <v>38</v>
      </c>
      <c r="L219" s="5" t="s">
        <v>11</v>
      </c>
      <c r="M219" s="5" t="s">
        <v>57</v>
      </c>
      <c r="N219" s="5" t="s">
        <v>58</v>
      </c>
      <c r="O219" s="5" t="s">
        <v>89</v>
      </c>
      <c r="P219" s="5" t="s">
        <v>15</v>
      </c>
      <c r="Q219" s="5" t="s">
        <v>17</v>
      </c>
      <c r="R219" s="5" t="s">
        <v>43</v>
      </c>
      <c r="S219" s="5" t="s">
        <v>21</v>
      </c>
      <c r="T219" s="6" t="s">
        <v>73</v>
      </c>
      <c r="U219" s="6">
        <v>0</v>
      </c>
      <c r="V219" s="6" t="s">
        <v>73</v>
      </c>
      <c r="W219" s="6">
        <v>0</v>
      </c>
      <c r="X219" s="6" t="s">
        <v>46</v>
      </c>
      <c r="Y219">
        <v>0</v>
      </c>
      <c r="Z219" s="5" t="s">
        <v>46</v>
      </c>
      <c r="AA219" s="5" t="s">
        <v>46</v>
      </c>
      <c r="AB219" s="5" t="s">
        <v>46</v>
      </c>
    </row>
    <row r="220" spans="1:28" x14ac:dyDescent="0.35">
      <c r="A220" s="8" t="s">
        <v>1326</v>
      </c>
      <c r="B220" s="5" t="s">
        <v>302</v>
      </c>
      <c r="C220">
        <v>1957</v>
      </c>
      <c r="D220">
        <f t="shared" ca="1" si="5"/>
        <v>68</v>
      </c>
      <c r="E220" s="5" t="s">
        <v>6</v>
      </c>
      <c r="F220" t="s">
        <v>54</v>
      </c>
      <c r="G220" t="str">
        <f t="shared" si="6"/>
        <v>500.000–1.000.000</v>
      </c>
      <c r="H220" t="s">
        <v>30</v>
      </c>
      <c r="I220">
        <v>3</v>
      </c>
      <c r="J220" t="s">
        <v>8</v>
      </c>
      <c r="K220" s="5" t="s">
        <v>114</v>
      </c>
      <c r="L220" s="5" t="s">
        <v>11</v>
      </c>
      <c r="M220" s="5" t="s">
        <v>57</v>
      </c>
      <c r="N220" s="5" t="s">
        <v>58</v>
      </c>
      <c r="O220" s="5" t="s">
        <v>42</v>
      </c>
      <c r="P220" s="5" t="s">
        <v>15</v>
      </c>
      <c r="Q220" s="5" t="s">
        <v>17</v>
      </c>
      <c r="R220" s="5" t="s">
        <v>43</v>
      </c>
      <c r="S220" s="5" t="s">
        <v>21</v>
      </c>
      <c r="T220" s="6" t="s">
        <v>23</v>
      </c>
      <c r="U220" s="6">
        <v>1</v>
      </c>
      <c r="V220" s="6" t="s">
        <v>76</v>
      </c>
      <c r="W220" s="6">
        <v>1</v>
      </c>
      <c r="X220" s="6" t="s">
        <v>46</v>
      </c>
      <c r="Y220">
        <v>0</v>
      </c>
      <c r="Z220" s="5" t="s">
        <v>46</v>
      </c>
      <c r="AA220" s="5" t="s">
        <v>64</v>
      </c>
      <c r="AB220" s="5" t="s">
        <v>46</v>
      </c>
    </row>
    <row r="221" spans="1:28" x14ac:dyDescent="0.35">
      <c r="A221" s="8" t="s">
        <v>1327</v>
      </c>
      <c r="B221" s="5" t="s">
        <v>303</v>
      </c>
      <c r="C221">
        <v>1962</v>
      </c>
      <c r="D221">
        <f t="shared" ca="1" si="5"/>
        <v>63</v>
      </c>
      <c r="E221" s="5" t="s">
        <v>28</v>
      </c>
      <c r="F221" t="s">
        <v>29</v>
      </c>
      <c r="G221" t="str">
        <f t="shared" si="6"/>
        <v>&lt;500.000</v>
      </c>
      <c r="H221" t="s">
        <v>30</v>
      </c>
      <c r="I221">
        <v>3</v>
      </c>
      <c r="J221" t="s">
        <v>8</v>
      </c>
      <c r="K221" s="5" t="s">
        <v>114</v>
      </c>
      <c r="L221" s="5" t="s">
        <v>11</v>
      </c>
      <c r="M221" s="5" t="s">
        <v>57</v>
      </c>
      <c r="N221" s="5" t="s">
        <v>58</v>
      </c>
      <c r="O221" s="5" t="s">
        <v>42</v>
      </c>
      <c r="P221" s="5" t="s">
        <v>15</v>
      </c>
      <c r="Q221" s="5" t="s">
        <v>17</v>
      </c>
      <c r="R221" s="5" t="s">
        <v>43</v>
      </c>
      <c r="S221" s="5" t="s">
        <v>21</v>
      </c>
      <c r="T221" s="6" t="s">
        <v>23</v>
      </c>
      <c r="U221" s="6">
        <v>1</v>
      </c>
      <c r="V221" s="6" t="s">
        <v>76</v>
      </c>
      <c r="W221" s="6">
        <v>1</v>
      </c>
      <c r="X221" s="6" t="s">
        <v>46</v>
      </c>
      <c r="Y221">
        <v>0</v>
      </c>
      <c r="Z221" s="5" t="s">
        <v>46</v>
      </c>
      <c r="AA221" s="5" t="s">
        <v>64</v>
      </c>
      <c r="AB221" s="5" t="s">
        <v>46</v>
      </c>
    </row>
    <row r="222" spans="1:28" x14ac:dyDescent="0.35">
      <c r="A222" s="8" t="s">
        <v>1328</v>
      </c>
      <c r="B222" s="5" t="s">
        <v>101</v>
      </c>
      <c r="C222">
        <v>1993</v>
      </c>
      <c r="D222">
        <f t="shared" ref="D222:D285" ca="1" si="7">YEAR(TODAY()) - C222</f>
        <v>32</v>
      </c>
      <c r="E222" s="5" t="s">
        <v>6</v>
      </c>
      <c r="F222" t="s">
        <v>54</v>
      </c>
      <c r="G222" t="str">
        <f t="shared" si="6"/>
        <v>500.000–1.000.000</v>
      </c>
      <c r="H222" t="s">
        <v>7</v>
      </c>
      <c r="I222">
        <v>1</v>
      </c>
      <c r="J222" t="s">
        <v>72</v>
      </c>
      <c r="K222" s="5" t="s">
        <v>38</v>
      </c>
      <c r="L222" s="5" t="s">
        <v>11</v>
      </c>
      <c r="M222" s="5" t="s">
        <v>57</v>
      </c>
      <c r="N222" s="5" t="s">
        <v>58</v>
      </c>
      <c r="O222" s="5" t="s">
        <v>42</v>
      </c>
      <c r="P222" s="5" t="s">
        <v>15</v>
      </c>
      <c r="Q222" s="5" t="s">
        <v>17</v>
      </c>
      <c r="R222" s="5" t="s">
        <v>43</v>
      </c>
      <c r="S222" s="5" t="s">
        <v>21</v>
      </c>
      <c r="T222" s="6" t="s">
        <v>23</v>
      </c>
      <c r="U222" s="6">
        <v>1</v>
      </c>
      <c r="V222" s="6" t="s">
        <v>76</v>
      </c>
      <c r="W222" s="6">
        <v>1</v>
      </c>
      <c r="X222" s="6" t="s">
        <v>46</v>
      </c>
      <c r="Y222">
        <v>1</v>
      </c>
      <c r="Z222" s="5" t="s">
        <v>46</v>
      </c>
      <c r="AA222" s="5" t="s">
        <v>46</v>
      </c>
      <c r="AB222" s="5" t="s">
        <v>46</v>
      </c>
    </row>
    <row r="223" spans="1:28" x14ac:dyDescent="0.35">
      <c r="A223" s="8" t="s">
        <v>1329</v>
      </c>
      <c r="B223" s="5" t="s">
        <v>304</v>
      </c>
      <c r="C223">
        <v>1995</v>
      </c>
      <c r="D223">
        <f t="shared" ca="1" si="7"/>
        <v>30</v>
      </c>
      <c r="E223" s="5" t="s">
        <v>28</v>
      </c>
      <c r="F223" t="s">
        <v>162</v>
      </c>
      <c r="G223" t="str">
        <f t="shared" si="6"/>
        <v>1.000.000–2.000.000</v>
      </c>
      <c r="H223" t="s">
        <v>7</v>
      </c>
      <c r="I223">
        <v>1</v>
      </c>
      <c r="J223" t="s">
        <v>72</v>
      </c>
      <c r="K223" s="5" t="s">
        <v>38</v>
      </c>
      <c r="L223" s="5" t="s">
        <v>11</v>
      </c>
      <c r="M223" s="5" t="s">
        <v>57</v>
      </c>
      <c r="N223" s="5" t="s">
        <v>58</v>
      </c>
      <c r="O223" s="5" t="s">
        <v>42</v>
      </c>
      <c r="P223" s="5" t="s">
        <v>15</v>
      </c>
      <c r="Q223" s="5" t="s">
        <v>17</v>
      </c>
      <c r="R223" s="5" t="s">
        <v>43</v>
      </c>
      <c r="S223" s="5" t="s">
        <v>21</v>
      </c>
      <c r="T223" s="6" t="s">
        <v>23</v>
      </c>
      <c r="U223" s="6">
        <v>1</v>
      </c>
      <c r="V223" s="6" t="s">
        <v>76</v>
      </c>
      <c r="W223" s="6">
        <v>1</v>
      </c>
      <c r="X223" s="6" t="s">
        <v>46</v>
      </c>
      <c r="Y223">
        <v>1</v>
      </c>
      <c r="Z223" s="5" t="s">
        <v>46</v>
      </c>
      <c r="AA223" s="5" t="s">
        <v>46</v>
      </c>
      <c r="AB223" s="5" t="s">
        <v>46</v>
      </c>
    </row>
    <row r="224" spans="1:28" x14ac:dyDescent="0.35">
      <c r="A224" s="8" t="s">
        <v>1330</v>
      </c>
      <c r="B224" s="5" t="s">
        <v>305</v>
      </c>
      <c r="C224">
        <v>2000</v>
      </c>
      <c r="D224">
        <f t="shared" ca="1" si="7"/>
        <v>25</v>
      </c>
      <c r="E224" s="5" t="s">
        <v>6</v>
      </c>
      <c r="F224" t="s">
        <v>54</v>
      </c>
      <c r="G224" t="str">
        <f t="shared" si="6"/>
        <v>500.000–1.000.000</v>
      </c>
      <c r="H224" t="s">
        <v>30</v>
      </c>
      <c r="I224">
        <v>0</v>
      </c>
      <c r="J224" t="s">
        <v>72</v>
      </c>
      <c r="K224" s="5" t="s">
        <v>114</v>
      </c>
      <c r="L224" s="5" t="s">
        <v>11</v>
      </c>
      <c r="M224" s="5" t="s">
        <v>57</v>
      </c>
      <c r="N224" s="5" t="s">
        <v>58</v>
      </c>
      <c r="O224" s="5" t="s">
        <v>42</v>
      </c>
      <c r="P224" s="5" t="s">
        <v>15</v>
      </c>
      <c r="Q224" s="5" t="s">
        <v>17</v>
      </c>
      <c r="R224" s="5" t="s">
        <v>43</v>
      </c>
      <c r="S224" s="5" t="s">
        <v>21</v>
      </c>
      <c r="T224" s="6" t="s">
        <v>23</v>
      </c>
      <c r="U224" s="6">
        <v>1</v>
      </c>
      <c r="V224" s="6" t="s">
        <v>76</v>
      </c>
      <c r="W224" s="6">
        <v>1</v>
      </c>
      <c r="X224" s="6" t="s">
        <v>46</v>
      </c>
      <c r="Y224">
        <v>0</v>
      </c>
      <c r="Z224" s="5" t="s">
        <v>46</v>
      </c>
      <c r="AA224" s="5" t="s">
        <v>46</v>
      </c>
      <c r="AB224" s="5" t="s">
        <v>46</v>
      </c>
    </row>
    <row r="225" spans="1:28" x14ac:dyDescent="0.35">
      <c r="A225" s="8" t="s">
        <v>1331</v>
      </c>
      <c r="B225" s="5" t="s">
        <v>306</v>
      </c>
      <c r="C225">
        <v>1974</v>
      </c>
      <c r="D225">
        <f t="shared" ca="1" si="7"/>
        <v>51</v>
      </c>
      <c r="E225" s="5" t="s">
        <v>6</v>
      </c>
      <c r="F225" t="s">
        <v>29</v>
      </c>
      <c r="G225" t="str">
        <f t="shared" si="6"/>
        <v>&lt;500.000</v>
      </c>
      <c r="H225" t="s">
        <v>63</v>
      </c>
      <c r="I225">
        <v>3</v>
      </c>
      <c r="J225" t="s">
        <v>8</v>
      </c>
      <c r="K225" s="5" t="s">
        <v>38</v>
      </c>
      <c r="L225" s="5" t="s">
        <v>11</v>
      </c>
      <c r="M225" s="5" t="s">
        <v>57</v>
      </c>
      <c r="N225" s="5" t="s">
        <v>58</v>
      </c>
      <c r="O225" s="5" t="s">
        <v>89</v>
      </c>
      <c r="P225" s="5" t="s">
        <v>15</v>
      </c>
      <c r="Q225" s="5" t="s">
        <v>17</v>
      </c>
      <c r="R225" s="5" t="s">
        <v>43</v>
      </c>
      <c r="S225" s="5" t="s">
        <v>21</v>
      </c>
      <c r="T225" s="6" t="s">
        <v>73</v>
      </c>
      <c r="U225" s="6">
        <v>0</v>
      </c>
      <c r="V225" s="6" t="s">
        <v>73</v>
      </c>
      <c r="W225" s="6">
        <v>0</v>
      </c>
      <c r="X225" s="6" t="s">
        <v>46</v>
      </c>
      <c r="Y225">
        <v>2</v>
      </c>
      <c r="Z225" s="5" t="s">
        <v>46</v>
      </c>
      <c r="AA225" s="5" t="s">
        <v>46</v>
      </c>
      <c r="AB225" s="5" t="s">
        <v>46</v>
      </c>
    </row>
    <row r="226" spans="1:28" x14ac:dyDescent="0.35">
      <c r="A226" s="8" t="s">
        <v>1332</v>
      </c>
      <c r="B226" s="5" t="s">
        <v>307</v>
      </c>
      <c r="C226">
        <v>1983</v>
      </c>
      <c r="D226">
        <f t="shared" ca="1" si="7"/>
        <v>42</v>
      </c>
      <c r="E226" s="5" t="s">
        <v>28</v>
      </c>
      <c r="F226" t="s">
        <v>29</v>
      </c>
      <c r="G226" t="str">
        <f t="shared" si="6"/>
        <v>&lt;500.000</v>
      </c>
      <c r="H226" t="s">
        <v>63</v>
      </c>
      <c r="I226">
        <v>3</v>
      </c>
      <c r="J226" t="s">
        <v>8</v>
      </c>
      <c r="K226" s="5" t="s">
        <v>38</v>
      </c>
      <c r="L226" s="5" t="s">
        <v>11</v>
      </c>
      <c r="M226" s="5" t="s">
        <v>57</v>
      </c>
      <c r="N226" s="5" t="s">
        <v>58</v>
      </c>
      <c r="O226" s="5" t="s">
        <v>89</v>
      </c>
      <c r="P226" s="5" t="s">
        <v>15</v>
      </c>
      <c r="Q226" s="5" t="s">
        <v>17</v>
      </c>
      <c r="R226" s="5" t="s">
        <v>43</v>
      </c>
      <c r="S226" s="5" t="s">
        <v>21</v>
      </c>
      <c r="T226" s="6" t="s">
        <v>73</v>
      </c>
      <c r="U226" s="6">
        <v>0</v>
      </c>
      <c r="V226" s="6" t="s">
        <v>73</v>
      </c>
      <c r="W226" s="6">
        <v>0</v>
      </c>
      <c r="X226" s="6" t="s">
        <v>46</v>
      </c>
      <c r="Y226">
        <v>2</v>
      </c>
      <c r="Z226" s="5" t="s">
        <v>46</v>
      </c>
      <c r="AA226" s="5" t="s">
        <v>46</v>
      </c>
      <c r="AB226" s="5" t="s">
        <v>46</v>
      </c>
    </row>
    <row r="227" spans="1:28" x14ac:dyDescent="0.35">
      <c r="A227" s="8" t="s">
        <v>1333</v>
      </c>
      <c r="B227" s="5" t="s">
        <v>308</v>
      </c>
      <c r="C227">
        <v>1982</v>
      </c>
      <c r="D227">
        <f t="shared" ca="1" si="7"/>
        <v>43</v>
      </c>
      <c r="E227" s="5" t="s">
        <v>6</v>
      </c>
      <c r="F227" t="s">
        <v>137</v>
      </c>
      <c r="G227" t="str">
        <f t="shared" si="6"/>
        <v>500.000–1.000.000</v>
      </c>
      <c r="H227" t="s">
        <v>7</v>
      </c>
      <c r="I227">
        <v>2</v>
      </c>
      <c r="J227" t="s">
        <v>8</v>
      </c>
      <c r="K227" s="5" t="s">
        <v>38</v>
      </c>
      <c r="L227" s="5" t="s">
        <v>11</v>
      </c>
      <c r="M227" s="5" t="s">
        <v>57</v>
      </c>
      <c r="N227" s="5" t="s">
        <v>58</v>
      </c>
      <c r="O227" s="5" t="s">
        <v>42</v>
      </c>
      <c r="P227" s="5" t="s">
        <v>15</v>
      </c>
      <c r="Q227" s="5" t="s">
        <v>17</v>
      </c>
      <c r="R227" s="5" t="s">
        <v>43</v>
      </c>
      <c r="S227" s="5" t="s">
        <v>21</v>
      </c>
      <c r="T227" s="6" t="s">
        <v>23</v>
      </c>
      <c r="U227" s="6">
        <v>1</v>
      </c>
      <c r="V227" s="6" t="s">
        <v>26</v>
      </c>
      <c r="W227" s="6">
        <v>1</v>
      </c>
      <c r="X227" s="6" t="s">
        <v>46</v>
      </c>
      <c r="Y227">
        <v>1</v>
      </c>
      <c r="Z227" s="5" t="s">
        <v>46</v>
      </c>
      <c r="AA227" s="5" t="s">
        <v>46</v>
      </c>
      <c r="AB227" s="5" t="s">
        <v>46</v>
      </c>
    </row>
    <row r="228" spans="1:28" x14ac:dyDescent="0.35">
      <c r="A228" s="8" t="s">
        <v>1334</v>
      </c>
      <c r="B228" s="5" t="s">
        <v>309</v>
      </c>
      <c r="C228">
        <v>1979</v>
      </c>
      <c r="D228">
        <f t="shared" ca="1" si="7"/>
        <v>46</v>
      </c>
      <c r="E228" s="5" t="s">
        <v>28</v>
      </c>
      <c r="F228" t="s">
        <v>54</v>
      </c>
      <c r="G228" t="str">
        <f t="shared" si="6"/>
        <v>500.000–1.000.000</v>
      </c>
      <c r="H228" t="s">
        <v>30</v>
      </c>
      <c r="I228">
        <v>2</v>
      </c>
      <c r="J228" t="s">
        <v>8</v>
      </c>
      <c r="K228" s="5" t="s">
        <v>38</v>
      </c>
      <c r="L228" s="5" t="s">
        <v>11</v>
      </c>
      <c r="M228" s="5" t="s">
        <v>57</v>
      </c>
      <c r="N228" s="5" t="s">
        <v>58</v>
      </c>
      <c r="O228" s="5" t="s">
        <v>42</v>
      </c>
      <c r="P228" s="5" t="s">
        <v>15</v>
      </c>
      <c r="Q228" s="5" t="s">
        <v>17</v>
      </c>
      <c r="R228" s="5" t="s">
        <v>43</v>
      </c>
      <c r="S228" s="5" t="s">
        <v>21</v>
      </c>
      <c r="T228" s="6" t="s">
        <v>23</v>
      </c>
      <c r="U228" s="6">
        <v>1</v>
      </c>
      <c r="V228" s="6" t="s">
        <v>26</v>
      </c>
      <c r="W228" s="6">
        <v>1</v>
      </c>
      <c r="X228" s="6" t="s">
        <v>46</v>
      </c>
      <c r="Y228">
        <v>1</v>
      </c>
      <c r="Z228" s="5" t="s">
        <v>46</v>
      </c>
      <c r="AA228" s="5" t="s">
        <v>46</v>
      </c>
      <c r="AB228" s="5" t="s">
        <v>46</v>
      </c>
    </row>
    <row r="229" spans="1:28" x14ac:dyDescent="0.35">
      <c r="A229" s="8" t="s">
        <v>1335</v>
      </c>
      <c r="B229" s="5" t="s">
        <v>310</v>
      </c>
      <c r="C229">
        <v>1967</v>
      </c>
      <c r="D229">
        <f t="shared" ca="1" si="7"/>
        <v>58</v>
      </c>
      <c r="E229" s="5" t="s">
        <v>6</v>
      </c>
      <c r="F229" t="s">
        <v>29</v>
      </c>
      <c r="G229" t="str">
        <f t="shared" si="6"/>
        <v>&lt;500.000</v>
      </c>
      <c r="H229" t="s">
        <v>63</v>
      </c>
      <c r="I229">
        <v>0</v>
      </c>
      <c r="J229" t="s">
        <v>8</v>
      </c>
      <c r="K229" s="5" t="s">
        <v>114</v>
      </c>
      <c r="L229" s="5" t="s">
        <v>11</v>
      </c>
      <c r="M229" s="5" t="s">
        <v>57</v>
      </c>
      <c r="N229" s="5" t="s">
        <v>58</v>
      </c>
      <c r="O229" s="5" t="s">
        <v>42</v>
      </c>
      <c r="P229" s="5" t="s">
        <v>15</v>
      </c>
      <c r="Q229" s="5" t="s">
        <v>17</v>
      </c>
      <c r="R229" s="5" t="s">
        <v>43</v>
      </c>
      <c r="S229" s="5" t="s">
        <v>21</v>
      </c>
      <c r="T229" s="6" t="s">
        <v>73</v>
      </c>
      <c r="U229" s="6">
        <v>0</v>
      </c>
      <c r="V229" s="6" t="s">
        <v>73</v>
      </c>
      <c r="W229" s="6">
        <v>0</v>
      </c>
      <c r="X229" s="6" t="s">
        <v>46</v>
      </c>
      <c r="Y229">
        <v>0</v>
      </c>
      <c r="Z229" s="5" t="s">
        <v>46</v>
      </c>
      <c r="AA229" s="5" t="s">
        <v>46</v>
      </c>
      <c r="AB229" s="5" t="s">
        <v>46</v>
      </c>
    </row>
    <row r="230" spans="1:28" x14ac:dyDescent="0.35">
      <c r="A230" s="8" t="s">
        <v>1336</v>
      </c>
      <c r="B230" s="5" t="s">
        <v>311</v>
      </c>
      <c r="C230">
        <v>2001</v>
      </c>
      <c r="D230">
        <f t="shared" ca="1" si="7"/>
        <v>24</v>
      </c>
      <c r="E230" s="5" t="s">
        <v>6</v>
      </c>
      <c r="F230" t="s">
        <v>137</v>
      </c>
      <c r="G230" t="str">
        <f t="shared" si="6"/>
        <v>1.000.000–2.000.000</v>
      </c>
      <c r="H230" t="s">
        <v>139</v>
      </c>
      <c r="I230">
        <v>2</v>
      </c>
      <c r="J230" t="s">
        <v>48</v>
      </c>
      <c r="K230" s="5" t="s">
        <v>38</v>
      </c>
      <c r="L230" s="5" t="s">
        <v>11</v>
      </c>
      <c r="M230" s="5" t="s">
        <v>57</v>
      </c>
      <c r="N230" s="5" t="s">
        <v>58</v>
      </c>
      <c r="O230" s="5" t="s">
        <v>42</v>
      </c>
      <c r="P230" s="5" t="s">
        <v>15</v>
      </c>
      <c r="Q230" s="5" t="s">
        <v>17</v>
      </c>
      <c r="R230" s="5" t="s">
        <v>43</v>
      </c>
      <c r="S230" s="5" t="s">
        <v>21</v>
      </c>
      <c r="T230" s="6" t="s">
        <v>73</v>
      </c>
      <c r="U230" s="6">
        <v>0</v>
      </c>
      <c r="V230" s="6" t="s">
        <v>76</v>
      </c>
      <c r="W230" s="6">
        <v>1</v>
      </c>
      <c r="X230" s="6" t="s">
        <v>46</v>
      </c>
      <c r="Y230">
        <v>0</v>
      </c>
      <c r="Z230" s="5" t="s">
        <v>44</v>
      </c>
      <c r="AA230" s="5" t="s">
        <v>46</v>
      </c>
      <c r="AB230" s="5" t="s">
        <v>46</v>
      </c>
    </row>
    <row r="231" spans="1:28" x14ac:dyDescent="0.35">
      <c r="A231" s="8" t="s">
        <v>1337</v>
      </c>
      <c r="B231" s="5" t="s">
        <v>312</v>
      </c>
      <c r="C231">
        <v>2002</v>
      </c>
      <c r="D231">
        <f t="shared" ca="1" si="7"/>
        <v>23</v>
      </c>
      <c r="E231" s="5" t="s">
        <v>28</v>
      </c>
      <c r="F231" t="s">
        <v>29</v>
      </c>
      <c r="G231" t="str">
        <f t="shared" si="6"/>
        <v>500.000–1.000.000</v>
      </c>
      <c r="H231" t="s">
        <v>139</v>
      </c>
      <c r="I231">
        <v>2</v>
      </c>
      <c r="J231" t="s">
        <v>48</v>
      </c>
      <c r="K231" s="5" t="s">
        <v>38</v>
      </c>
      <c r="L231" s="5" t="s">
        <v>11</v>
      </c>
      <c r="M231" s="5" t="s">
        <v>57</v>
      </c>
      <c r="N231" s="5" t="s">
        <v>58</v>
      </c>
      <c r="O231" s="5" t="s">
        <v>42</v>
      </c>
      <c r="P231" s="5" t="s">
        <v>15</v>
      </c>
      <c r="Q231" s="5" t="s">
        <v>17</v>
      </c>
      <c r="R231" s="5" t="s">
        <v>43</v>
      </c>
      <c r="S231" s="5" t="s">
        <v>21</v>
      </c>
      <c r="T231" s="6" t="s">
        <v>73</v>
      </c>
      <c r="U231" s="6">
        <v>0</v>
      </c>
      <c r="V231" s="6" t="s">
        <v>76</v>
      </c>
      <c r="W231" s="6">
        <v>1</v>
      </c>
      <c r="X231" s="6" t="s">
        <v>46</v>
      </c>
      <c r="Y231">
        <v>0</v>
      </c>
      <c r="Z231" s="5" t="s">
        <v>44</v>
      </c>
      <c r="AA231" s="5" t="s">
        <v>46</v>
      </c>
      <c r="AB231" s="5" t="s">
        <v>46</v>
      </c>
    </row>
    <row r="232" spans="1:28" x14ac:dyDescent="0.35">
      <c r="A232" s="8" t="s">
        <v>1338</v>
      </c>
      <c r="B232" s="5" t="s">
        <v>313</v>
      </c>
      <c r="C232">
        <v>1968</v>
      </c>
      <c r="D232">
        <f t="shared" ca="1" si="7"/>
        <v>57</v>
      </c>
      <c r="E232" s="5" t="s">
        <v>6</v>
      </c>
      <c r="F232" t="s">
        <v>137</v>
      </c>
      <c r="G232" t="str">
        <f t="shared" si="6"/>
        <v>1.000.000–2.000.000</v>
      </c>
      <c r="H232" t="s">
        <v>139</v>
      </c>
      <c r="I232">
        <v>2</v>
      </c>
      <c r="J232" t="s">
        <v>8</v>
      </c>
      <c r="K232" s="5" t="s">
        <v>38</v>
      </c>
      <c r="L232" s="5" t="s">
        <v>11</v>
      </c>
      <c r="M232" s="5" t="s">
        <v>57</v>
      </c>
      <c r="N232" s="5" t="s">
        <v>58</v>
      </c>
      <c r="O232" s="5" t="s">
        <v>42</v>
      </c>
      <c r="P232" s="5" t="s">
        <v>15</v>
      </c>
      <c r="Q232" s="5" t="s">
        <v>17</v>
      </c>
      <c r="R232" s="5" t="s">
        <v>43</v>
      </c>
      <c r="S232" s="5" t="s">
        <v>21</v>
      </c>
      <c r="T232" s="6" t="s">
        <v>73</v>
      </c>
      <c r="U232" s="6">
        <v>0</v>
      </c>
      <c r="V232" s="6" t="s">
        <v>26</v>
      </c>
      <c r="W232" s="6">
        <v>1</v>
      </c>
      <c r="X232" s="6" t="s">
        <v>46</v>
      </c>
      <c r="Y232">
        <v>2</v>
      </c>
      <c r="Z232" s="5" t="s">
        <v>46</v>
      </c>
      <c r="AA232" s="5" t="s">
        <v>46</v>
      </c>
      <c r="AB232" s="5" t="s">
        <v>74</v>
      </c>
    </row>
    <row r="233" spans="1:28" x14ac:dyDescent="0.35">
      <c r="A233" s="8" t="s">
        <v>1339</v>
      </c>
      <c r="B233" s="5" t="s">
        <v>314</v>
      </c>
      <c r="C233">
        <v>1972</v>
      </c>
      <c r="D233">
        <f t="shared" ca="1" si="7"/>
        <v>53</v>
      </c>
      <c r="E233" s="5" t="s">
        <v>28</v>
      </c>
      <c r="F233" t="s">
        <v>29</v>
      </c>
      <c r="G233" t="str">
        <f t="shared" si="6"/>
        <v>500.000–1.000.000</v>
      </c>
      <c r="H233" t="s">
        <v>7</v>
      </c>
      <c r="I233">
        <v>2</v>
      </c>
      <c r="J233" t="s">
        <v>8</v>
      </c>
      <c r="K233" s="5" t="s">
        <v>38</v>
      </c>
      <c r="L233" s="5" t="s">
        <v>11</v>
      </c>
      <c r="M233" s="5" t="s">
        <v>57</v>
      </c>
      <c r="N233" s="5" t="s">
        <v>58</v>
      </c>
      <c r="O233" s="5" t="s">
        <v>42</v>
      </c>
      <c r="P233" s="5" t="s">
        <v>15</v>
      </c>
      <c r="Q233" s="5" t="s">
        <v>17</v>
      </c>
      <c r="R233" s="5" t="s">
        <v>43</v>
      </c>
      <c r="S233" s="5" t="s">
        <v>21</v>
      </c>
      <c r="T233" s="6" t="s">
        <v>73</v>
      </c>
      <c r="U233" s="6">
        <v>0</v>
      </c>
      <c r="V233" s="6" t="s">
        <v>26</v>
      </c>
      <c r="W233" s="6">
        <v>1</v>
      </c>
      <c r="X233" s="6" t="s">
        <v>46</v>
      </c>
      <c r="Y233">
        <v>2</v>
      </c>
      <c r="Z233" s="5" t="s">
        <v>46</v>
      </c>
      <c r="AA233" s="5" t="s">
        <v>46</v>
      </c>
      <c r="AB233" s="5" t="s">
        <v>74</v>
      </c>
    </row>
    <row r="234" spans="1:28" x14ac:dyDescent="0.35">
      <c r="A234" s="8" t="s">
        <v>1340</v>
      </c>
      <c r="B234" s="5" t="s">
        <v>315</v>
      </c>
      <c r="C234">
        <v>1989</v>
      </c>
      <c r="D234">
        <f t="shared" ca="1" si="7"/>
        <v>36</v>
      </c>
      <c r="E234" s="5" t="s">
        <v>6</v>
      </c>
      <c r="F234" t="s">
        <v>151</v>
      </c>
      <c r="G234" t="str">
        <f t="shared" si="6"/>
        <v>500.000–1.000.000</v>
      </c>
      <c r="H234" t="s">
        <v>7</v>
      </c>
      <c r="I234">
        <v>2</v>
      </c>
      <c r="J234" t="s">
        <v>48</v>
      </c>
      <c r="K234" s="5" t="s">
        <v>114</v>
      </c>
      <c r="L234" s="5" t="s">
        <v>11</v>
      </c>
      <c r="M234" s="5" t="s">
        <v>14</v>
      </c>
      <c r="N234" s="5" t="s">
        <v>58</v>
      </c>
      <c r="O234" s="5" t="s">
        <v>42</v>
      </c>
      <c r="P234" s="5" t="s">
        <v>15</v>
      </c>
      <c r="Q234" s="5" t="s">
        <v>17</v>
      </c>
      <c r="R234" s="5" t="s">
        <v>43</v>
      </c>
      <c r="S234" s="5" t="s">
        <v>21</v>
      </c>
      <c r="T234" s="6" t="s">
        <v>84</v>
      </c>
      <c r="U234" s="6">
        <v>1</v>
      </c>
      <c r="V234" s="6" t="s">
        <v>76</v>
      </c>
      <c r="W234" s="6">
        <v>1</v>
      </c>
      <c r="X234" s="6" t="s">
        <v>46</v>
      </c>
      <c r="Y234">
        <v>1</v>
      </c>
      <c r="Z234" s="5" t="s">
        <v>46</v>
      </c>
      <c r="AA234" s="5" t="s">
        <v>46</v>
      </c>
      <c r="AB234" s="5" t="s">
        <v>46</v>
      </c>
    </row>
    <row r="235" spans="1:28" x14ac:dyDescent="0.35">
      <c r="A235" s="8" t="s">
        <v>1341</v>
      </c>
      <c r="B235" s="5" t="s">
        <v>316</v>
      </c>
      <c r="C235">
        <v>1994</v>
      </c>
      <c r="D235">
        <f t="shared" ca="1" si="7"/>
        <v>31</v>
      </c>
      <c r="E235" s="5" t="s">
        <v>28</v>
      </c>
      <c r="F235" t="s">
        <v>29</v>
      </c>
      <c r="G235" t="str">
        <f t="shared" si="6"/>
        <v>500.000–1.000.000</v>
      </c>
      <c r="H235" t="s">
        <v>139</v>
      </c>
      <c r="I235">
        <v>2</v>
      </c>
      <c r="J235" t="s">
        <v>48</v>
      </c>
      <c r="K235" s="5" t="s">
        <v>114</v>
      </c>
      <c r="L235" s="5" t="s">
        <v>11</v>
      </c>
      <c r="M235" s="5" t="s">
        <v>14</v>
      </c>
      <c r="N235" s="5" t="s">
        <v>58</v>
      </c>
      <c r="O235" s="5" t="s">
        <v>42</v>
      </c>
      <c r="P235" s="5" t="s">
        <v>15</v>
      </c>
      <c r="Q235" s="5" t="s">
        <v>17</v>
      </c>
      <c r="R235" s="5" t="s">
        <v>43</v>
      </c>
      <c r="S235" s="5" t="s">
        <v>21</v>
      </c>
      <c r="T235" s="6" t="s">
        <v>84</v>
      </c>
      <c r="U235" s="6">
        <v>1</v>
      </c>
      <c r="V235" s="6" t="s">
        <v>76</v>
      </c>
      <c r="W235" s="6">
        <v>1</v>
      </c>
      <c r="X235" s="6" t="s">
        <v>46</v>
      </c>
      <c r="Y235">
        <v>1</v>
      </c>
      <c r="Z235" s="5" t="s">
        <v>46</v>
      </c>
      <c r="AA235" s="5" t="s">
        <v>46</v>
      </c>
      <c r="AB235" s="5" t="s">
        <v>46</v>
      </c>
    </row>
    <row r="236" spans="1:28" x14ac:dyDescent="0.35">
      <c r="A236" s="8" t="s">
        <v>1342</v>
      </c>
      <c r="B236" s="5" t="s">
        <v>317</v>
      </c>
      <c r="C236">
        <v>1985</v>
      </c>
      <c r="D236">
        <f t="shared" ca="1" si="7"/>
        <v>40</v>
      </c>
      <c r="E236" s="5" t="s">
        <v>6</v>
      </c>
      <c r="F236" t="s">
        <v>187</v>
      </c>
      <c r="G236" t="str">
        <f t="shared" si="6"/>
        <v>2.000.000–3.000.000</v>
      </c>
      <c r="H236" t="s">
        <v>30</v>
      </c>
      <c r="I236">
        <v>3</v>
      </c>
      <c r="J236" t="s">
        <v>8</v>
      </c>
      <c r="K236" s="5" t="s">
        <v>38</v>
      </c>
      <c r="L236" s="5" t="s">
        <v>11</v>
      </c>
      <c r="M236" s="5" t="s">
        <v>57</v>
      </c>
      <c r="N236" s="5" t="s">
        <v>58</v>
      </c>
      <c r="O236" s="5" t="s">
        <v>42</v>
      </c>
      <c r="P236" s="5" t="s">
        <v>15</v>
      </c>
      <c r="Q236" s="5" t="s">
        <v>17</v>
      </c>
      <c r="R236" s="5" t="s">
        <v>43</v>
      </c>
      <c r="S236" s="5" t="s">
        <v>21</v>
      </c>
      <c r="T236" s="6" t="s">
        <v>84</v>
      </c>
      <c r="U236" s="6">
        <v>1</v>
      </c>
      <c r="V236" s="6" t="s">
        <v>26</v>
      </c>
      <c r="W236" s="6">
        <v>1</v>
      </c>
      <c r="X236" s="6" t="s">
        <v>46</v>
      </c>
      <c r="Y236">
        <v>2</v>
      </c>
      <c r="Z236" s="5" t="s">
        <v>46</v>
      </c>
      <c r="AA236" s="5" t="s">
        <v>46</v>
      </c>
      <c r="AB236" s="5" t="s">
        <v>46</v>
      </c>
    </row>
    <row r="237" spans="1:28" x14ac:dyDescent="0.35">
      <c r="A237" s="8" t="s">
        <v>1343</v>
      </c>
      <c r="B237" s="5" t="s">
        <v>318</v>
      </c>
      <c r="C237">
        <v>1990</v>
      </c>
      <c r="D237">
        <f t="shared" ca="1" si="7"/>
        <v>35</v>
      </c>
      <c r="E237" s="5" t="s">
        <v>28</v>
      </c>
      <c r="F237" t="s">
        <v>119</v>
      </c>
      <c r="G237" t="str">
        <f t="shared" si="6"/>
        <v>&lt;500.000</v>
      </c>
      <c r="H237" t="s">
        <v>30</v>
      </c>
      <c r="I237">
        <v>3</v>
      </c>
      <c r="J237" t="s">
        <v>8</v>
      </c>
      <c r="K237" s="5" t="s">
        <v>38</v>
      </c>
      <c r="L237" s="5" t="s">
        <v>11</v>
      </c>
      <c r="M237" s="5" t="s">
        <v>57</v>
      </c>
      <c r="N237" s="5" t="s">
        <v>58</v>
      </c>
      <c r="O237" s="5" t="s">
        <v>42</v>
      </c>
      <c r="P237" s="5" t="s">
        <v>15</v>
      </c>
      <c r="Q237" s="5" t="s">
        <v>17</v>
      </c>
      <c r="R237" s="5" t="s">
        <v>43</v>
      </c>
      <c r="S237" s="5" t="s">
        <v>21</v>
      </c>
      <c r="T237" s="6" t="s">
        <v>84</v>
      </c>
      <c r="U237" s="6">
        <v>1</v>
      </c>
      <c r="V237" s="6" t="s">
        <v>26</v>
      </c>
      <c r="W237" s="6">
        <v>1</v>
      </c>
      <c r="X237" s="6" t="s">
        <v>46</v>
      </c>
      <c r="Y237">
        <v>2</v>
      </c>
      <c r="Z237" s="5" t="s">
        <v>46</v>
      </c>
      <c r="AA237" s="5" t="s">
        <v>46</v>
      </c>
      <c r="AB237" s="5" t="s">
        <v>46</v>
      </c>
    </row>
    <row r="238" spans="1:28" x14ac:dyDescent="0.35">
      <c r="A238" s="8" t="s">
        <v>1344</v>
      </c>
      <c r="B238" s="5" t="s">
        <v>319</v>
      </c>
      <c r="C238">
        <v>1965</v>
      </c>
      <c r="D238">
        <f t="shared" ca="1" si="7"/>
        <v>60</v>
      </c>
      <c r="E238" s="5" t="s">
        <v>6</v>
      </c>
      <c r="F238" t="s">
        <v>137</v>
      </c>
      <c r="G238" t="str">
        <f t="shared" si="6"/>
        <v>500.000–1.000.000</v>
      </c>
      <c r="H238" t="s">
        <v>30</v>
      </c>
      <c r="I238">
        <v>1</v>
      </c>
      <c r="J238" t="s">
        <v>8</v>
      </c>
      <c r="K238" s="5" t="s">
        <v>10</v>
      </c>
      <c r="L238" s="5" t="s">
        <v>11</v>
      </c>
      <c r="M238" s="5" t="s">
        <v>40</v>
      </c>
      <c r="N238" s="5" t="s">
        <v>37</v>
      </c>
      <c r="O238" s="5" t="s">
        <v>42</v>
      </c>
      <c r="P238" s="5" t="s">
        <v>15</v>
      </c>
      <c r="Q238" s="5" t="s">
        <v>17</v>
      </c>
      <c r="R238" s="5" t="s">
        <v>43</v>
      </c>
      <c r="S238" s="5" t="s">
        <v>21</v>
      </c>
      <c r="T238" s="6" t="s">
        <v>23</v>
      </c>
      <c r="U238" s="6">
        <v>1</v>
      </c>
      <c r="V238" s="6" t="s">
        <v>26</v>
      </c>
      <c r="W238" s="6">
        <v>1</v>
      </c>
      <c r="X238" s="6" t="s">
        <v>60</v>
      </c>
      <c r="Y238">
        <v>1</v>
      </c>
      <c r="Z238" s="5" t="s">
        <v>46</v>
      </c>
      <c r="AA238" s="5" t="s">
        <v>44</v>
      </c>
      <c r="AB238" s="5" t="s">
        <v>46</v>
      </c>
    </row>
    <row r="239" spans="1:28" x14ac:dyDescent="0.35">
      <c r="A239" s="8" t="s">
        <v>1345</v>
      </c>
      <c r="B239" s="5" t="s">
        <v>320</v>
      </c>
      <c r="C239">
        <v>1970</v>
      </c>
      <c r="D239">
        <f t="shared" ca="1" si="7"/>
        <v>55</v>
      </c>
      <c r="E239" s="5" t="s">
        <v>28</v>
      </c>
      <c r="F239" t="s">
        <v>29</v>
      </c>
      <c r="G239" t="str">
        <f t="shared" si="6"/>
        <v>&lt;500.000</v>
      </c>
      <c r="H239" t="s">
        <v>63</v>
      </c>
      <c r="I239">
        <v>1</v>
      </c>
      <c r="J239" t="s">
        <v>8</v>
      </c>
      <c r="K239" s="5" t="s">
        <v>10</v>
      </c>
      <c r="L239" s="5" t="s">
        <v>11</v>
      </c>
      <c r="M239" s="5" t="s">
        <v>40</v>
      </c>
      <c r="N239" s="5" t="s">
        <v>37</v>
      </c>
      <c r="O239" s="5" t="s">
        <v>42</v>
      </c>
      <c r="P239" s="5" t="s">
        <v>15</v>
      </c>
      <c r="Q239" s="5" t="s">
        <v>17</v>
      </c>
      <c r="R239" s="5" t="s">
        <v>43</v>
      </c>
      <c r="S239" s="5" t="s">
        <v>21</v>
      </c>
      <c r="T239" s="6" t="s">
        <v>23</v>
      </c>
      <c r="U239" s="6">
        <v>1</v>
      </c>
      <c r="V239" s="6" t="s">
        <v>26</v>
      </c>
      <c r="W239" s="6">
        <v>1</v>
      </c>
      <c r="X239" s="6" t="s">
        <v>60</v>
      </c>
      <c r="Y239">
        <v>1</v>
      </c>
      <c r="Z239" s="5" t="s">
        <v>46</v>
      </c>
      <c r="AA239" s="5" t="s">
        <v>44</v>
      </c>
      <c r="AB239" s="5" t="s">
        <v>46</v>
      </c>
    </row>
    <row r="240" spans="1:28" x14ac:dyDescent="0.35">
      <c r="A240" s="8" t="s">
        <v>1346</v>
      </c>
      <c r="B240" s="5" t="s">
        <v>321</v>
      </c>
      <c r="C240">
        <v>1983</v>
      </c>
      <c r="D240">
        <f t="shared" ca="1" si="7"/>
        <v>42</v>
      </c>
      <c r="E240" s="5" t="s">
        <v>6</v>
      </c>
      <c r="F240" t="s">
        <v>54</v>
      </c>
      <c r="G240" t="str">
        <f t="shared" si="6"/>
        <v>500.000–1.000.000</v>
      </c>
      <c r="H240" t="s">
        <v>7</v>
      </c>
      <c r="I240">
        <v>3</v>
      </c>
      <c r="J240" t="s">
        <v>72</v>
      </c>
      <c r="K240" s="5" t="s">
        <v>38</v>
      </c>
      <c r="L240" s="5" t="s">
        <v>11</v>
      </c>
      <c r="M240" s="5" t="s">
        <v>57</v>
      </c>
      <c r="N240" s="5" t="s">
        <v>58</v>
      </c>
      <c r="O240" s="5" t="s">
        <v>42</v>
      </c>
      <c r="P240" s="5" t="s">
        <v>15</v>
      </c>
      <c r="Q240" s="5" t="s">
        <v>17</v>
      </c>
      <c r="R240" s="5" t="s">
        <v>43</v>
      </c>
      <c r="S240" s="5" t="s">
        <v>21</v>
      </c>
      <c r="T240" s="6" t="s">
        <v>84</v>
      </c>
      <c r="U240" s="6">
        <v>1</v>
      </c>
      <c r="V240" s="6" t="s">
        <v>26</v>
      </c>
      <c r="W240" s="6">
        <v>1</v>
      </c>
      <c r="X240" s="6" t="s">
        <v>44</v>
      </c>
      <c r="Y240">
        <v>3</v>
      </c>
      <c r="Z240" s="5" t="s">
        <v>46</v>
      </c>
      <c r="AA240" s="5" t="s">
        <v>46</v>
      </c>
      <c r="AB240" s="5" t="s">
        <v>46</v>
      </c>
    </row>
    <row r="241" spans="1:28" x14ac:dyDescent="0.35">
      <c r="A241" s="8" t="s">
        <v>1347</v>
      </c>
      <c r="B241" s="5" t="s">
        <v>322</v>
      </c>
      <c r="C241">
        <v>1985</v>
      </c>
      <c r="D241">
        <f t="shared" ca="1" si="7"/>
        <v>40</v>
      </c>
      <c r="E241" s="5" t="s">
        <v>28</v>
      </c>
      <c r="F241" t="s">
        <v>29</v>
      </c>
      <c r="G241" t="str">
        <f t="shared" si="6"/>
        <v>&lt;500.000</v>
      </c>
      <c r="H241" t="s">
        <v>63</v>
      </c>
      <c r="I241">
        <v>3</v>
      </c>
      <c r="J241" t="s">
        <v>72</v>
      </c>
      <c r="K241" s="5" t="s">
        <v>38</v>
      </c>
      <c r="L241" s="5" t="s">
        <v>11</v>
      </c>
      <c r="M241" s="5" t="s">
        <v>57</v>
      </c>
      <c r="N241" s="5" t="s">
        <v>58</v>
      </c>
      <c r="O241" s="5" t="s">
        <v>42</v>
      </c>
      <c r="P241" s="5" t="s">
        <v>15</v>
      </c>
      <c r="Q241" s="5" t="s">
        <v>17</v>
      </c>
      <c r="R241" s="5" t="s">
        <v>43</v>
      </c>
      <c r="S241" s="5" t="s">
        <v>21</v>
      </c>
      <c r="T241" s="6" t="s">
        <v>84</v>
      </c>
      <c r="U241" s="6">
        <v>1</v>
      </c>
      <c r="V241" s="6" t="s">
        <v>26</v>
      </c>
      <c r="W241" s="6">
        <v>1</v>
      </c>
      <c r="X241" s="6" t="s">
        <v>44</v>
      </c>
      <c r="Y241">
        <v>3</v>
      </c>
      <c r="Z241" s="5" t="s">
        <v>46</v>
      </c>
      <c r="AA241" s="5" t="s">
        <v>46</v>
      </c>
      <c r="AB241" s="5" t="s">
        <v>46</v>
      </c>
    </row>
    <row r="242" spans="1:28" x14ac:dyDescent="0.35">
      <c r="A242" s="8" t="s">
        <v>1348</v>
      </c>
      <c r="B242" s="5" t="s">
        <v>323</v>
      </c>
      <c r="C242">
        <v>1982</v>
      </c>
      <c r="D242">
        <f t="shared" ca="1" si="7"/>
        <v>43</v>
      </c>
      <c r="E242" s="5" t="s">
        <v>6</v>
      </c>
      <c r="F242" t="s">
        <v>29</v>
      </c>
      <c r="G242" t="str">
        <f t="shared" si="6"/>
        <v>&lt;500.000</v>
      </c>
      <c r="H242" t="s">
        <v>63</v>
      </c>
      <c r="I242">
        <v>1</v>
      </c>
      <c r="J242" t="s">
        <v>8</v>
      </c>
      <c r="K242" s="5" t="s">
        <v>114</v>
      </c>
      <c r="L242" s="5" t="s">
        <v>11</v>
      </c>
      <c r="M242" s="5" t="s">
        <v>57</v>
      </c>
      <c r="N242" s="5" t="s">
        <v>58</v>
      </c>
      <c r="O242" s="5" t="s">
        <v>89</v>
      </c>
      <c r="P242" s="5" t="s">
        <v>15</v>
      </c>
      <c r="Q242" s="5" t="s">
        <v>17</v>
      </c>
      <c r="R242" s="5" t="s">
        <v>43</v>
      </c>
      <c r="S242" s="5" t="s">
        <v>21</v>
      </c>
      <c r="T242" s="6" t="s">
        <v>73</v>
      </c>
      <c r="U242" s="6">
        <v>0</v>
      </c>
      <c r="V242" s="6" t="s">
        <v>73</v>
      </c>
      <c r="W242" s="6">
        <v>0</v>
      </c>
      <c r="X242" s="6" t="s">
        <v>46</v>
      </c>
      <c r="Y242">
        <v>1</v>
      </c>
      <c r="Z242" s="5" t="s">
        <v>46</v>
      </c>
      <c r="AA242" s="5" t="s">
        <v>46</v>
      </c>
      <c r="AB242" s="5" t="s">
        <v>46</v>
      </c>
    </row>
    <row r="243" spans="1:28" x14ac:dyDescent="0.35">
      <c r="A243" s="8" t="s">
        <v>1349</v>
      </c>
      <c r="B243" s="5" t="s">
        <v>99</v>
      </c>
      <c r="C243">
        <v>1964</v>
      </c>
      <c r="D243">
        <f t="shared" ca="1" si="7"/>
        <v>61</v>
      </c>
      <c r="E243" s="5" t="s">
        <v>6</v>
      </c>
      <c r="F243" t="s">
        <v>29</v>
      </c>
      <c r="G243" t="str">
        <f t="shared" si="6"/>
        <v>&lt;500.000</v>
      </c>
      <c r="H243" t="s">
        <v>63</v>
      </c>
      <c r="I243">
        <v>1</v>
      </c>
      <c r="J243" t="s">
        <v>8</v>
      </c>
      <c r="K243" s="5" t="s">
        <v>38</v>
      </c>
      <c r="L243" s="5" t="s">
        <v>11</v>
      </c>
      <c r="M243" s="5" t="s">
        <v>57</v>
      </c>
      <c r="N243" s="5" t="s">
        <v>58</v>
      </c>
      <c r="O243" s="5" t="s">
        <v>89</v>
      </c>
      <c r="P243" s="5" t="s">
        <v>15</v>
      </c>
      <c r="Q243" s="5" t="s">
        <v>17</v>
      </c>
      <c r="R243" s="5" t="s">
        <v>43</v>
      </c>
      <c r="S243" s="5" t="s">
        <v>21</v>
      </c>
      <c r="T243" s="6" t="s">
        <v>73</v>
      </c>
      <c r="U243" s="6">
        <v>0</v>
      </c>
      <c r="V243" s="6" t="s">
        <v>73</v>
      </c>
      <c r="W243" s="6">
        <v>0</v>
      </c>
      <c r="X243" s="6" t="s">
        <v>46</v>
      </c>
      <c r="Y243">
        <v>0</v>
      </c>
      <c r="Z243" s="5" t="s">
        <v>46</v>
      </c>
      <c r="AA243" s="5" t="s">
        <v>44</v>
      </c>
      <c r="AB243" s="5" t="s">
        <v>46</v>
      </c>
    </row>
    <row r="244" spans="1:28" x14ac:dyDescent="0.35">
      <c r="A244" s="8" t="s">
        <v>1350</v>
      </c>
      <c r="B244" s="5" t="s">
        <v>324</v>
      </c>
      <c r="C244">
        <v>1969</v>
      </c>
      <c r="D244">
        <f t="shared" ca="1" si="7"/>
        <v>56</v>
      </c>
      <c r="E244" s="5" t="s">
        <v>28</v>
      </c>
      <c r="F244" t="s">
        <v>29</v>
      </c>
      <c r="G244" t="str">
        <f t="shared" si="6"/>
        <v>&lt;500.000</v>
      </c>
      <c r="H244" t="s">
        <v>63</v>
      </c>
      <c r="I244">
        <v>1</v>
      </c>
      <c r="J244" t="s">
        <v>8</v>
      </c>
      <c r="K244" s="5" t="s">
        <v>38</v>
      </c>
      <c r="L244" s="5" t="s">
        <v>11</v>
      </c>
      <c r="M244" s="5" t="s">
        <v>57</v>
      </c>
      <c r="N244" s="5" t="s">
        <v>58</v>
      </c>
      <c r="O244" s="5" t="s">
        <v>89</v>
      </c>
      <c r="P244" s="5" t="s">
        <v>15</v>
      </c>
      <c r="Q244" s="5" t="s">
        <v>17</v>
      </c>
      <c r="R244" s="5" t="s">
        <v>43</v>
      </c>
      <c r="S244" s="5" t="s">
        <v>21</v>
      </c>
      <c r="T244" s="6" t="s">
        <v>73</v>
      </c>
      <c r="U244" s="6">
        <v>0</v>
      </c>
      <c r="V244" s="6" t="s">
        <v>73</v>
      </c>
      <c r="W244" s="6">
        <v>0</v>
      </c>
      <c r="X244" s="6" t="s">
        <v>46</v>
      </c>
      <c r="Y244">
        <v>0</v>
      </c>
      <c r="Z244" s="5" t="s">
        <v>46</v>
      </c>
      <c r="AA244" s="5" t="s">
        <v>44</v>
      </c>
      <c r="AB244" s="5" t="s">
        <v>46</v>
      </c>
    </row>
    <row r="245" spans="1:28" x14ac:dyDescent="0.35">
      <c r="A245" s="8" t="s">
        <v>1351</v>
      </c>
      <c r="B245" s="5" t="s">
        <v>325</v>
      </c>
      <c r="C245">
        <v>1954</v>
      </c>
      <c r="D245">
        <f t="shared" ca="1" si="7"/>
        <v>71</v>
      </c>
      <c r="E245" s="5" t="s">
        <v>6</v>
      </c>
      <c r="F245" t="s">
        <v>29</v>
      </c>
      <c r="G245" t="str">
        <f t="shared" si="6"/>
        <v>&lt;500.000</v>
      </c>
      <c r="H245" t="s">
        <v>30</v>
      </c>
      <c r="I245">
        <v>0</v>
      </c>
      <c r="J245" t="s">
        <v>8</v>
      </c>
      <c r="K245" s="5" t="s">
        <v>114</v>
      </c>
      <c r="L245" s="5" t="s">
        <v>11</v>
      </c>
      <c r="M245" s="5" t="s">
        <v>57</v>
      </c>
      <c r="N245" s="5" t="s">
        <v>58</v>
      </c>
      <c r="O245" s="5" t="s">
        <v>42</v>
      </c>
      <c r="P245" s="5" t="s">
        <v>15</v>
      </c>
      <c r="Q245" s="5" t="s">
        <v>17</v>
      </c>
      <c r="R245" s="5" t="s">
        <v>43</v>
      </c>
      <c r="S245" s="5" t="s">
        <v>21</v>
      </c>
      <c r="T245" s="6" t="s">
        <v>73</v>
      </c>
      <c r="U245" s="6">
        <v>0</v>
      </c>
      <c r="V245" s="6" t="s">
        <v>73</v>
      </c>
      <c r="W245" s="6">
        <v>0</v>
      </c>
      <c r="X245" s="6" t="s">
        <v>46</v>
      </c>
      <c r="Y245">
        <v>0</v>
      </c>
      <c r="Z245" s="5" t="s">
        <v>46</v>
      </c>
      <c r="AA245" s="5" t="s">
        <v>44</v>
      </c>
      <c r="AB245" s="5" t="s">
        <v>46</v>
      </c>
    </row>
    <row r="246" spans="1:28" x14ac:dyDescent="0.35">
      <c r="A246" s="8" t="s">
        <v>1352</v>
      </c>
      <c r="B246" s="5" t="s">
        <v>326</v>
      </c>
      <c r="C246">
        <v>1979</v>
      </c>
      <c r="D246">
        <f t="shared" ca="1" si="7"/>
        <v>46</v>
      </c>
      <c r="E246" s="5" t="s">
        <v>6</v>
      </c>
      <c r="F246" t="s">
        <v>29</v>
      </c>
      <c r="G246" t="str">
        <f t="shared" si="6"/>
        <v>&lt;500.000</v>
      </c>
      <c r="H246" t="s">
        <v>63</v>
      </c>
      <c r="I246">
        <v>3</v>
      </c>
      <c r="J246" t="s">
        <v>8</v>
      </c>
      <c r="K246" s="5" t="s">
        <v>38</v>
      </c>
      <c r="L246" s="5" t="s">
        <v>11</v>
      </c>
      <c r="M246" s="5" t="s">
        <v>57</v>
      </c>
      <c r="N246" s="5" t="s">
        <v>58</v>
      </c>
      <c r="O246" s="5" t="s">
        <v>42</v>
      </c>
      <c r="P246" s="5" t="s">
        <v>15</v>
      </c>
      <c r="Q246" s="5" t="s">
        <v>17</v>
      </c>
      <c r="R246" s="5" t="s">
        <v>43</v>
      </c>
      <c r="S246" s="5" t="s">
        <v>21</v>
      </c>
      <c r="T246" s="6" t="s">
        <v>23</v>
      </c>
      <c r="U246" s="6">
        <v>1</v>
      </c>
      <c r="V246" s="6" t="s">
        <v>181</v>
      </c>
      <c r="W246" s="6">
        <v>1</v>
      </c>
      <c r="X246" s="6" t="s">
        <v>46</v>
      </c>
      <c r="Y246">
        <v>2</v>
      </c>
      <c r="Z246" s="5" t="s">
        <v>46</v>
      </c>
      <c r="AA246" s="5" t="s">
        <v>46</v>
      </c>
      <c r="AB246" s="5" t="s">
        <v>46</v>
      </c>
    </row>
    <row r="247" spans="1:28" x14ac:dyDescent="0.35">
      <c r="A247" s="8" t="s">
        <v>1353</v>
      </c>
      <c r="B247" s="5" t="s">
        <v>327</v>
      </c>
      <c r="C247">
        <v>1981</v>
      </c>
      <c r="D247">
        <f t="shared" ca="1" si="7"/>
        <v>44</v>
      </c>
      <c r="E247" s="5" t="s">
        <v>28</v>
      </c>
      <c r="F247" t="s">
        <v>29</v>
      </c>
      <c r="G247" t="str">
        <f t="shared" si="6"/>
        <v>500.000–1.000.000</v>
      </c>
      <c r="H247" t="s">
        <v>139</v>
      </c>
      <c r="I247">
        <v>3</v>
      </c>
      <c r="J247" t="s">
        <v>8</v>
      </c>
      <c r="K247" s="5" t="s">
        <v>38</v>
      </c>
      <c r="L247" s="5" t="s">
        <v>11</v>
      </c>
      <c r="M247" s="5" t="s">
        <v>57</v>
      </c>
      <c r="N247" s="5" t="s">
        <v>58</v>
      </c>
      <c r="O247" s="5" t="s">
        <v>42</v>
      </c>
      <c r="P247" s="5" t="s">
        <v>15</v>
      </c>
      <c r="Q247" s="5" t="s">
        <v>17</v>
      </c>
      <c r="R247" s="5" t="s">
        <v>43</v>
      </c>
      <c r="S247" s="5" t="s">
        <v>21</v>
      </c>
      <c r="T247" s="6" t="s">
        <v>23</v>
      </c>
      <c r="U247" s="6">
        <v>1</v>
      </c>
      <c r="V247" s="6" t="s">
        <v>181</v>
      </c>
      <c r="W247" s="6">
        <v>1</v>
      </c>
      <c r="X247" s="6" t="s">
        <v>46</v>
      </c>
      <c r="Y247">
        <v>2</v>
      </c>
      <c r="Z247" s="5" t="s">
        <v>46</v>
      </c>
      <c r="AA247" s="5" t="s">
        <v>46</v>
      </c>
      <c r="AB247" s="5" t="s">
        <v>46</v>
      </c>
    </row>
    <row r="248" spans="1:28" x14ac:dyDescent="0.35">
      <c r="A248" s="8" t="s">
        <v>1354</v>
      </c>
      <c r="B248" s="5" t="s">
        <v>328</v>
      </c>
      <c r="C248">
        <v>1982</v>
      </c>
      <c r="D248">
        <f t="shared" ca="1" si="7"/>
        <v>43</v>
      </c>
      <c r="E248" s="5" t="s">
        <v>6</v>
      </c>
      <c r="F248" t="s">
        <v>162</v>
      </c>
      <c r="G248" t="str">
        <f t="shared" si="6"/>
        <v>1.000.000–2.000.000</v>
      </c>
      <c r="H248" t="s">
        <v>7</v>
      </c>
      <c r="I248">
        <v>2</v>
      </c>
      <c r="J248" t="s">
        <v>8</v>
      </c>
      <c r="K248" s="5" t="s">
        <v>38</v>
      </c>
      <c r="L248" s="5" t="s">
        <v>11</v>
      </c>
      <c r="M248" s="5" t="s">
        <v>57</v>
      </c>
      <c r="N248" s="5" t="s">
        <v>58</v>
      </c>
      <c r="O248" s="5" t="s">
        <v>42</v>
      </c>
      <c r="P248" s="5" t="s">
        <v>15</v>
      </c>
      <c r="Q248" s="5" t="s">
        <v>17</v>
      </c>
      <c r="R248" s="5" t="s">
        <v>43</v>
      </c>
      <c r="S248" s="5" t="s">
        <v>21</v>
      </c>
      <c r="T248" s="6" t="s">
        <v>23</v>
      </c>
      <c r="U248" s="6">
        <v>1</v>
      </c>
      <c r="V248" s="6" t="s">
        <v>117</v>
      </c>
      <c r="W248" s="6">
        <v>1</v>
      </c>
      <c r="X248" s="6" t="s">
        <v>46</v>
      </c>
      <c r="Y248">
        <v>1</v>
      </c>
      <c r="Z248" s="5" t="s">
        <v>44</v>
      </c>
      <c r="AA248" s="5" t="s">
        <v>46</v>
      </c>
      <c r="AB248" s="5" t="s">
        <v>46</v>
      </c>
    </row>
    <row r="249" spans="1:28" x14ac:dyDescent="0.35">
      <c r="A249" s="8" t="s">
        <v>1355</v>
      </c>
      <c r="B249" s="5" t="s">
        <v>329</v>
      </c>
      <c r="C249">
        <v>1992</v>
      </c>
      <c r="D249">
        <f t="shared" ca="1" si="7"/>
        <v>33</v>
      </c>
      <c r="E249" s="5" t="s">
        <v>28</v>
      </c>
      <c r="F249" t="s">
        <v>29</v>
      </c>
      <c r="G249" t="str">
        <f t="shared" si="6"/>
        <v>500.000–1.000.000</v>
      </c>
      <c r="H249" t="s">
        <v>7</v>
      </c>
      <c r="I249">
        <v>2</v>
      </c>
      <c r="J249" t="s">
        <v>8</v>
      </c>
      <c r="K249" s="5" t="s">
        <v>38</v>
      </c>
      <c r="L249" s="5" t="s">
        <v>11</v>
      </c>
      <c r="M249" s="5" t="s">
        <v>57</v>
      </c>
      <c r="N249" s="5" t="s">
        <v>58</v>
      </c>
      <c r="O249" s="5" t="s">
        <v>42</v>
      </c>
      <c r="P249" s="5" t="s">
        <v>15</v>
      </c>
      <c r="Q249" s="5" t="s">
        <v>17</v>
      </c>
      <c r="R249" s="5" t="s">
        <v>43</v>
      </c>
      <c r="S249" s="5" t="s">
        <v>21</v>
      </c>
      <c r="T249" s="6" t="s">
        <v>23</v>
      </c>
      <c r="U249" s="6">
        <v>1</v>
      </c>
      <c r="V249" s="6" t="s">
        <v>117</v>
      </c>
      <c r="W249" s="6">
        <v>1</v>
      </c>
      <c r="X249" s="6" t="s">
        <v>46</v>
      </c>
      <c r="Y249">
        <v>1</v>
      </c>
      <c r="Z249" s="5" t="s">
        <v>44</v>
      </c>
      <c r="AA249" s="5" t="s">
        <v>46</v>
      </c>
      <c r="AB249" s="5" t="s">
        <v>46</v>
      </c>
    </row>
    <row r="250" spans="1:28" x14ac:dyDescent="0.35">
      <c r="A250" s="8" t="s">
        <v>1356</v>
      </c>
      <c r="B250" s="5" t="s">
        <v>330</v>
      </c>
      <c r="C250">
        <v>1957</v>
      </c>
      <c r="D250">
        <f t="shared" ca="1" si="7"/>
        <v>68</v>
      </c>
      <c r="E250" s="5" t="s">
        <v>6</v>
      </c>
      <c r="F250" t="s">
        <v>151</v>
      </c>
      <c r="G250" t="str">
        <f t="shared" si="6"/>
        <v>500.000–1.000.000</v>
      </c>
      <c r="H250" t="s">
        <v>30</v>
      </c>
      <c r="I250">
        <v>1</v>
      </c>
      <c r="J250" t="s">
        <v>8</v>
      </c>
      <c r="K250" s="5" t="s">
        <v>38</v>
      </c>
      <c r="L250" s="5" t="s">
        <v>11</v>
      </c>
      <c r="M250" s="5" t="s">
        <v>57</v>
      </c>
      <c r="N250" s="5" t="s">
        <v>58</v>
      </c>
      <c r="O250" s="5" t="s">
        <v>42</v>
      </c>
      <c r="P250" s="5" t="s">
        <v>15</v>
      </c>
      <c r="Q250" s="5" t="s">
        <v>17</v>
      </c>
      <c r="R250" s="5" t="s">
        <v>43</v>
      </c>
      <c r="S250" s="5" t="s">
        <v>21</v>
      </c>
      <c r="T250" s="6" t="s">
        <v>84</v>
      </c>
      <c r="U250" s="6">
        <v>1</v>
      </c>
      <c r="V250" s="6" t="s">
        <v>26</v>
      </c>
      <c r="W250" s="6">
        <v>1</v>
      </c>
      <c r="X250" s="6" t="s">
        <v>46</v>
      </c>
      <c r="Y250">
        <v>0</v>
      </c>
      <c r="Z250" s="5" t="s">
        <v>46</v>
      </c>
      <c r="AA250" s="5" t="s">
        <v>44</v>
      </c>
      <c r="AB250" s="5" t="s">
        <v>46</v>
      </c>
    </row>
    <row r="251" spans="1:28" x14ac:dyDescent="0.35">
      <c r="A251" s="8" t="s">
        <v>1357</v>
      </c>
      <c r="B251" s="5" t="s">
        <v>272</v>
      </c>
      <c r="C251">
        <v>1972</v>
      </c>
      <c r="D251">
        <f t="shared" ca="1" si="7"/>
        <v>53</v>
      </c>
      <c r="E251" s="5" t="s">
        <v>28</v>
      </c>
      <c r="F251" t="s">
        <v>29</v>
      </c>
      <c r="G251" t="str">
        <f t="shared" si="6"/>
        <v>&lt;500.000</v>
      </c>
      <c r="H251" t="s">
        <v>30</v>
      </c>
      <c r="I251">
        <v>1</v>
      </c>
      <c r="J251" t="s">
        <v>8</v>
      </c>
      <c r="K251" s="5" t="s">
        <v>38</v>
      </c>
      <c r="L251" s="5" t="s">
        <v>11</v>
      </c>
      <c r="M251" s="5" t="s">
        <v>57</v>
      </c>
      <c r="N251" s="5" t="s">
        <v>58</v>
      </c>
      <c r="O251" s="5" t="s">
        <v>42</v>
      </c>
      <c r="P251" s="5" t="s">
        <v>15</v>
      </c>
      <c r="Q251" s="5" t="s">
        <v>17</v>
      </c>
      <c r="R251" s="5" t="s">
        <v>43</v>
      </c>
      <c r="S251" s="5" t="s">
        <v>21</v>
      </c>
      <c r="T251" s="6" t="s">
        <v>84</v>
      </c>
      <c r="U251" s="6">
        <v>1</v>
      </c>
      <c r="V251" s="6" t="s">
        <v>26</v>
      </c>
      <c r="W251" s="6">
        <v>1</v>
      </c>
      <c r="X251" s="6" t="s">
        <v>46</v>
      </c>
      <c r="Y251">
        <v>0</v>
      </c>
      <c r="Z251" s="5" t="s">
        <v>46</v>
      </c>
      <c r="AA251" s="5" t="s">
        <v>46</v>
      </c>
      <c r="AB251" s="5" t="s">
        <v>46</v>
      </c>
    </row>
    <row r="252" spans="1:28" x14ac:dyDescent="0.35">
      <c r="A252" s="8" t="s">
        <v>1358</v>
      </c>
      <c r="B252" s="5" t="s">
        <v>331</v>
      </c>
      <c r="C252">
        <v>1948</v>
      </c>
      <c r="D252">
        <f t="shared" ca="1" si="7"/>
        <v>77</v>
      </c>
      <c r="E252" s="5" t="s">
        <v>6</v>
      </c>
      <c r="F252" t="s">
        <v>29</v>
      </c>
      <c r="G252" t="str">
        <f t="shared" si="6"/>
        <v>&lt;500.000</v>
      </c>
      <c r="H252" t="s">
        <v>63</v>
      </c>
      <c r="I252">
        <v>0</v>
      </c>
      <c r="J252" t="s">
        <v>8</v>
      </c>
      <c r="K252" s="5" t="s">
        <v>114</v>
      </c>
      <c r="L252" s="5" t="s">
        <v>11</v>
      </c>
      <c r="M252" s="5" t="s">
        <v>57</v>
      </c>
      <c r="N252" s="5" t="s">
        <v>58</v>
      </c>
      <c r="O252" s="5" t="s">
        <v>89</v>
      </c>
      <c r="P252" s="5" t="s">
        <v>15</v>
      </c>
      <c r="Q252" s="5" t="s">
        <v>17</v>
      </c>
      <c r="R252" s="5" t="s">
        <v>43</v>
      </c>
      <c r="S252" s="5" t="s">
        <v>21</v>
      </c>
      <c r="T252" s="6" t="s">
        <v>73</v>
      </c>
      <c r="U252" s="6">
        <v>0</v>
      </c>
      <c r="V252" s="6" t="s">
        <v>73</v>
      </c>
      <c r="W252" s="6">
        <v>0</v>
      </c>
      <c r="X252" s="6" t="s">
        <v>46</v>
      </c>
      <c r="Y252">
        <v>0</v>
      </c>
      <c r="Z252" s="5" t="s">
        <v>46</v>
      </c>
      <c r="AA252" s="5" t="s">
        <v>44</v>
      </c>
      <c r="AB252" s="5" t="s">
        <v>46</v>
      </c>
    </row>
    <row r="253" spans="1:28" x14ac:dyDescent="0.35">
      <c r="A253" s="8" t="s">
        <v>1359</v>
      </c>
      <c r="B253" s="5" t="s">
        <v>332</v>
      </c>
      <c r="C253">
        <v>1958</v>
      </c>
      <c r="D253">
        <f t="shared" ca="1" si="7"/>
        <v>67</v>
      </c>
      <c r="E253" s="5" t="s">
        <v>6</v>
      </c>
      <c r="F253" t="s">
        <v>29</v>
      </c>
      <c r="G253" t="str">
        <f t="shared" si="6"/>
        <v>&lt;500.000</v>
      </c>
      <c r="H253" t="s">
        <v>63</v>
      </c>
      <c r="I253">
        <v>3</v>
      </c>
      <c r="J253" t="s">
        <v>8</v>
      </c>
      <c r="K253" s="5" t="s">
        <v>38</v>
      </c>
      <c r="L253" s="5" t="s">
        <v>11</v>
      </c>
      <c r="M253" s="5" t="s">
        <v>57</v>
      </c>
      <c r="N253" s="5" t="s">
        <v>58</v>
      </c>
      <c r="O253" s="5" t="s">
        <v>89</v>
      </c>
      <c r="P253" s="5" t="s">
        <v>15</v>
      </c>
      <c r="Q253" s="5" t="s">
        <v>17</v>
      </c>
      <c r="R253" s="5" t="s">
        <v>43</v>
      </c>
      <c r="S253" s="5" t="s">
        <v>21</v>
      </c>
      <c r="T253" s="6" t="s">
        <v>73</v>
      </c>
      <c r="U253" s="6">
        <v>0</v>
      </c>
      <c r="V253" s="6" t="s">
        <v>73</v>
      </c>
      <c r="W253" s="6">
        <v>0</v>
      </c>
      <c r="X253" s="6" t="s">
        <v>46</v>
      </c>
      <c r="Y253">
        <v>3</v>
      </c>
      <c r="Z253" s="5" t="s">
        <v>46</v>
      </c>
      <c r="AA253" s="5" t="s">
        <v>44</v>
      </c>
      <c r="AB253" s="5" t="s">
        <v>46</v>
      </c>
    </row>
    <row r="254" spans="1:28" x14ac:dyDescent="0.35">
      <c r="A254" s="8" t="s">
        <v>1360</v>
      </c>
      <c r="B254" s="5" t="s">
        <v>333</v>
      </c>
      <c r="C254">
        <v>1988</v>
      </c>
      <c r="D254">
        <f t="shared" ca="1" si="7"/>
        <v>37</v>
      </c>
      <c r="E254" s="5" t="s">
        <v>28</v>
      </c>
      <c r="F254" t="s">
        <v>29</v>
      </c>
      <c r="G254" t="str">
        <f t="shared" si="6"/>
        <v>&lt;500.000</v>
      </c>
      <c r="H254" t="s">
        <v>63</v>
      </c>
      <c r="I254">
        <v>3</v>
      </c>
      <c r="J254" t="s">
        <v>8</v>
      </c>
      <c r="K254" s="5" t="s">
        <v>38</v>
      </c>
      <c r="L254" s="5" t="s">
        <v>11</v>
      </c>
      <c r="M254" s="5" t="s">
        <v>57</v>
      </c>
      <c r="N254" s="5" t="s">
        <v>58</v>
      </c>
      <c r="O254" s="5" t="s">
        <v>89</v>
      </c>
      <c r="P254" s="5" t="s">
        <v>15</v>
      </c>
      <c r="Q254" s="5" t="s">
        <v>17</v>
      </c>
      <c r="R254" s="5" t="s">
        <v>43</v>
      </c>
      <c r="S254" s="5" t="s">
        <v>21</v>
      </c>
      <c r="T254" s="6" t="s">
        <v>73</v>
      </c>
      <c r="U254" s="6">
        <v>0</v>
      </c>
      <c r="V254" s="6" t="s">
        <v>73</v>
      </c>
      <c r="W254" s="6">
        <v>0</v>
      </c>
      <c r="X254" s="6" t="s">
        <v>46</v>
      </c>
      <c r="Y254">
        <v>3</v>
      </c>
      <c r="Z254" s="5" t="s">
        <v>46</v>
      </c>
      <c r="AA254" s="5" t="s">
        <v>44</v>
      </c>
      <c r="AB254" s="5" t="s">
        <v>46</v>
      </c>
    </row>
    <row r="255" spans="1:28" x14ac:dyDescent="0.35">
      <c r="A255" s="8" t="s">
        <v>1361</v>
      </c>
      <c r="B255" s="5" t="s">
        <v>334</v>
      </c>
      <c r="C255">
        <v>1961</v>
      </c>
      <c r="D255">
        <f t="shared" ca="1" si="7"/>
        <v>64</v>
      </c>
      <c r="E255" s="5" t="s">
        <v>6</v>
      </c>
      <c r="F255" t="s">
        <v>151</v>
      </c>
      <c r="G255" t="str">
        <f t="shared" si="6"/>
        <v>500.000–1.000.000</v>
      </c>
      <c r="H255" t="s">
        <v>30</v>
      </c>
      <c r="I255">
        <v>1</v>
      </c>
      <c r="J255" t="s">
        <v>8</v>
      </c>
      <c r="K255" s="5" t="s">
        <v>38</v>
      </c>
      <c r="L255" s="5" t="s">
        <v>49</v>
      </c>
      <c r="M255" s="5" t="s">
        <v>57</v>
      </c>
      <c r="N255" s="5" t="s">
        <v>58</v>
      </c>
      <c r="O255" s="5" t="s">
        <v>42</v>
      </c>
      <c r="P255" s="5" t="s">
        <v>15</v>
      </c>
      <c r="Q255" s="5" t="s">
        <v>17</v>
      </c>
      <c r="R255" s="5" t="s">
        <v>43</v>
      </c>
      <c r="S255" s="5" t="s">
        <v>21</v>
      </c>
      <c r="T255" s="6" t="s">
        <v>23</v>
      </c>
      <c r="U255" s="6">
        <v>1</v>
      </c>
      <c r="V255" s="6" t="s">
        <v>26</v>
      </c>
      <c r="W255" s="6">
        <v>1</v>
      </c>
      <c r="X255" s="6" t="s">
        <v>46</v>
      </c>
      <c r="Y255">
        <v>0</v>
      </c>
      <c r="Z255" s="5" t="s">
        <v>46</v>
      </c>
      <c r="AA255" s="5" t="s">
        <v>64</v>
      </c>
      <c r="AB255" s="5" t="s">
        <v>46</v>
      </c>
    </row>
    <row r="256" spans="1:28" x14ac:dyDescent="0.35">
      <c r="A256" s="8" t="s">
        <v>1362</v>
      </c>
      <c r="B256" s="5" t="s">
        <v>335</v>
      </c>
      <c r="C256">
        <v>1965</v>
      </c>
      <c r="D256">
        <f t="shared" ca="1" si="7"/>
        <v>60</v>
      </c>
      <c r="E256" s="5" t="s">
        <v>28</v>
      </c>
      <c r="F256" t="s">
        <v>54</v>
      </c>
      <c r="G256" t="str">
        <f t="shared" si="6"/>
        <v>500.000–1.000.000</v>
      </c>
      <c r="H256" t="s">
        <v>30</v>
      </c>
      <c r="I256">
        <v>1</v>
      </c>
      <c r="J256" t="s">
        <v>8</v>
      </c>
      <c r="K256" s="5" t="s">
        <v>38</v>
      </c>
      <c r="L256" s="5" t="s">
        <v>49</v>
      </c>
      <c r="M256" s="5" t="s">
        <v>57</v>
      </c>
      <c r="N256" s="5" t="s">
        <v>58</v>
      </c>
      <c r="O256" s="5" t="s">
        <v>42</v>
      </c>
      <c r="P256" s="5" t="s">
        <v>15</v>
      </c>
      <c r="Q256" s="5" t="s">
        <v>17</v>
      </c>
      <c r="R256" s="5" t="s">
        <v>43</v>
      </c>
      <c r="S256" s="5" t="s">
        <v>21</v>
      </c>
      <c r="T256" s="6" t="s">
        <v>23</v>
      </c>
      <c r="U256" s="6">
        <v>1</v>
      </c>
      <c r="V256" s="6" t="s">
        <v>26</v>
      </c>
      <c r="W256" s="6">
        <v>1</v>
      </c>
      <c r="X256" s="6" t="s">
        <v>46</v>
      </c>
      <c r="Y256">
        <v>0</v>
      </c>
      <c r="Z256" s="5" t="s">
        <v>46</v>
      </c>
      <c r="AA256" s="5" t="s">
        <v>64</v>
      </c>
      <c r="AB256" s="5" t="s">
        <v>46</v>
      </c>
    </row>
    <row r="257" spans="1:28" x14ac:dyDescent="0.35">
      <c r="A257" s="8" t="s">
        <v>1363</v>
      </c>
      <c r="B257" s="5" t="s">
        <v>336</v>
      </c>
      <c r="C257">
        <v>1973</v>
      </c>
      <c r="D257">
        <f t="shared" ca="1" si="7"/>
        <v>52</v>
      </c>
      <c r="E257" s="5" t="s">
        <v>6</v>
      </c>
      <c r="F257" t="s">
        <v>54</v>
      </c>
      <c r="G257" t="str">
        <f t="shared" ref="G257:G320" si="8">IF(OR(
    F257="Tidak bekerja",
    F257="Pekerja keluarga/Tidak dibayar"),
    IF(OR(H257="Tidak Sekolah", H257="SD"), "&lt;500.000", "500.000–1.000.000"),
IF(OR(
    F257="Pekerja Bebas Pertanian",
    F257="Pekerja Bebas non-Pertanian"),
    IF(OR(H257="Tidak Sekolah", H257="SD", H257="SMP"), "500.000–1.000.000", "1.000.000–2.000.000"),
IF(F257="Buruh/Karyawan/Pegawai Swasta",
    IF(OR(H257="SD", H257="SMP"), "500.000–1.000.000",
       IF(OR(H257="SMA/SMK", H257="D1/2/3"), "1.000.000–2.000.000", "2.000.000–3.000.000")
    ),
IF(F257="Berusaha Sendiri",
    IF(OR(H257="SD", H257="SMP"), "500.000–1.000.000", "1.000.000–2.000.000"),
IF(F257="Berusaha dibantu buruh tidak tetap/Tidak dibayar", "1.000.000–2.000.000",
IF(F257="Berusaha dibantu buruh tetap/Dibayar", "2.000.000–3.000.000",
IF(F257="PNS/TNI/Polri/BUMN/BUMD/Anggota Legislatif", "2.000.000–3.000.000",
""
)))))))</f>
        <v>500.000–1.000.000</v>
      </c>
      <c r="H257" t="s">
        <v>30</v>
      </c>
      <c r="I257">
        <v>1</v>
      </c>
      <c r="J257" t="s">
        <v>8</v>
      </c>
      <c r="K257" s="5" t="s">
        <v>38</v>
      </c>
      <c r="L257" s="5" t="s">
        <v>11</v>
      </c>
      <c r="M257" s="5" t="s">
        <v>40</v>
      </c>
      <c r="N257" s="5" t="s">
        <v>37</v>
      </c>
      <c r="O257" s="5" t="s">
        <v>42</v>
      </c>
      <c r="P257" s="5" t="s">
        <v>15</v>
      </c>
      <c r="Q257" s="5" t="s">
        <v>17</v>
      </c>
      <c r="R257" s="5" t="s">
        <v>87</v>
      </c>
      <c r="S257" s="5" t="s">
        <v>21</v>
      </c>
      <c r="T257" s="6" t="s">
        <v>23</v>
      </c>
      <c r="U257" s="6">
        <v>1</v>
      </c>
      <c r="V257" s="6" t="s">
        <v>76</v>
      </c>
      <c r="W257" s="6">
        <v>1</v>
      </c>
      <c r="X257" s="6" t="s">
        <v>46</v>
      </c>
      <c r="Y257">
        <v>0</v>
      </c>
      <c r="Z257" s="5" t="s">
        <v>46</v>
      </c>
      <c r="AA257" s="5" t="s">
        <v>46</v>
      </c>
      <c r="AB257" s="5" t="s">
        <v>46</v>
      </c>
    </row>
    <row r="258" spans="1:28" x14ac:dyDescent="0.35">
      <c r="A258" s="8" t="s">
        <v>1364</v>
      </c>
      <c r="B258" s="5" t="s">
        <v>337</v>
      </c>
      <c r="C258">
        <v>1973</v>
      </c>
      <c r="D258">
        <f t="shared" ca="1" si="7"/>
        <v>52</v>
      </c>
      <c r="E258" s="5" t="s">
        <v>28</v>
      </c>
      <c r="F258" t="s">
        <v>29</v>
      </c>
      <c r="G258" t="str">
        <f t="shared" si="8"/>
        <v>&lt;500.000</v>
      </c>
      <c r="H258" t="s">
        <v>30</v>
      </c>
      <c r="I258">
        <v>1</v>
      </c>
      <c r="J258" t="s">
        <v>8</v>
      </c>
      <c r="K258" s="5" t="s">
        <v>38</v>
      </c>
      <c r="L258" s="5" t="s">
        <v>11</v>
      </c>
      <c r="M258" s="5" t="s">
        <v>40</v>
      </c>
      <c r="N258" s="5" t="s">
        <v>37</v>
      </c>
      <c r="O258" s="5" t="s">
        <v>42</v>
      </c>
      <c r="P258" s="5" t="s">
        <v>15</v>
      </c>
      <c r="Q258" s="5" t="s">
        <v>17</v>
      </c>
      <c r="R258" s="5" t="s">
        <v>87</v>
      </c>
      <c r="S258" s="5" t="s">
        <v>21</v>
      </c>
      <c r="T258" s="6" t="s">
        <v>23</v>
      </c>
      <c r="U258" s="6">
        <v>1</v>
      </c>
      <c r="V258" s="6" t="s">
        <v>76</v>
      </c>
      <c r="W258" s="6">
        <v>1</v>
      </c>
      <c r="X258" s="6" t="s">
        <v>46</v>
      </c>
      <c r="Y258">
        <v>0</v>
      </c>
      <c r="Z258" s="5" t="s">
        <v>46</v>
      </c>
      <c r="AA258" s="5" t="s">
        <v>46</v>
      </c>
      <c r="AB258" s="5" t="s">
        <v>46</v>
      </c>
    </row>
    <row r="259" spans="1:28" x14ac:dyDescent="0.35">
      <c r="A259" s="8" t="s">
        <v>1365</v>
      </c>
      <c r="B259" s="5" t="s">
        <v>338</v>
      </c>
      <c r="C259">
        <v>1973</v>
      </c>
      <c r="D259">
        <f t="shared" ca="1" si="7"/>
        <v>52</v>
      </c>
      <c r="E259" s="5" t="s">
        <v>6</v>
      </c>
      <c r="F259" t="s">
        <v>29</v>
      </c>
      <c r="G259" t="str">
        <f t="shared" si="8"/>
        <v>&lt;500.000</v>
      </c>
      <c r="H259" t="s">
        <v>63</v>
      </c>
      <c r="I259">
        <v>2</v>
      </c>
      <c r="J259" t="s">
        <v>8</v>
      </c>
      <c r="K259" s="5" t="s">
        <v>38</v>
      </c>
      <c r="L259" s="5" t="s">
        <v>11</v>
      </c>
      <c r="M259" s="5" t="s">
        <v>40</v>
      </c>
      <c r="N259" s="5" t="s">
        <v>37</v>
      </c>
      <c r="O259" s="5" t="s">
        <v>42</v>
      </c>
      <c r="P259" s="5" t="s">
        <v>133</v>
      </c>
      <c r="Q259" s="5" t="s">
        <v>17</v>
      </c>
      <c r="R259" s="5" t="s">
        <v>43</v>
      </c>
      <c r="S259" s="5" t="s">
        <v>21</v>
      </c>
      <c r="T259" s="6" t="s">
        <v>84</v>
      </c>
      <c r="U259" s="6">
        <v>1</v>
      </c>
      <c r="V259" s="6" t="s">
        <v>26</v>
      </c>
      <c r="W259" s="6">
        <v>1</v>
      </c>
      <c r="X259" s="6" t="s">
        <v>46</v>
      </c>
      <c r="Y259">
        <v>1</v>
      </c>
      <c r="Z259" s="5" t="s">
        <v>46</v>
      </c>
      <c r="AA259" s="5" t="s">
        <v>46</v>
      </c>
      <c r="AB259" s="5" t="s">
        <v>46</v>
      </c>
    </row>
    <row r="260" spans="1:28" x14ac:dyDescent="0.35">
      <c r="A260" s="8" t="s">
        <v>1366</v>
      </c>
      <c r="B260" s="5" t="s">
        <v>339</v>
      </c>
      <c r="C260">
        <v>1977</v>
      </c>
      <c r="D260">
        <f t="shared" ca="1" si="7"/>
        <v>48</v>
      </c>
      <c r="E260" s="5" t="s">
        <v>28</v>
      </c>
      <c r="F260" t="s">
        <v>55</v>
      </c>
      <c r="G260" t="str">
        <f t="shared" si="8"/>
        <v>500.000–1.000.000</v>
      </c>
      <c r="H260" t="s">
        <v>7</v>
      </c>
      <c r="I260">
        <v>2</v>
      </c>
      <c r="J260" t="s">
        <v>8</v>
      </c>
      <c r="K260" s="5" t="s">
        <v>38</v>
      </c>
      <c r="L260" s="5" t="s">
        <v>11</v>
      </c>
      <c r="M260" s="5" t="s">
        <v>40</v>
      </c>
      <c r="N260" s="5" t="s">
        <v>37</v>
      </c>
      <c r="O260" s="5" t="s">
        <v>42</v>
      </c>
      <c r="P260" s="5" t="s">
        <v>133</v>
      </c>
      <c r="Q260" s="5" t="s">
        <v>17</v>
      </c>
      <c r="R260" s="5" t="s">
        <v>43</v>
      </c>
      <c r="S260" s="5" t="s">
        <v>21</v>
      </c>
      <c r="T260" s="6" t="s">
        <v>84</v>
      </c>
      <c r="U260" s="6">
        <v>1</v>
      </c>
      <c r="V260" s="6" t="s">
        <v>26</v>
      </c>
      <c r="W260" s="6">
        <v>1</v>
      </c>
      <c r="X260" s="6" t="s">
        <v>46</v>
      </c>
      <c r="Y260">
        <v>1</v>
      </c>
      <c r="Z260" s="5" t="s">
        <v>46</v>
      </c>
      <c r="AA260" s="5" t="s">
        <v>46</v>
      </c>
      <c r="AB260" s="5" t="s">
        <v>46</v>
      </c>
    </row>
    <row r="261" spans="1:28" x14ac:dyDescent="0.35">
      <c r="A261" s="8" t="s">
        <v>1367</v>
      </c>
      <c r="B261" s="5" t="s">
        <v>340</v>
      </c>
      <c r="C261">
        <v>1975</v>
      </c>
      <c r="D261">
        <f t="shared" ca="1" si="7"/>
        <v>50</v>
      </c>
      <c r="E261" s="5" t="s">
        <v>6</v>
      </c>
      <c r="F261" t="s">
        <v>29</v>
      </c>
      <c r="G261" t="str">
        <f t="shared" si="8"/>
        <v>500.000–1.000.000</v>
      </c>
      <c r="H261" t="s">
        <v>7</v>
      </c>
      <c r="I261">
        <v>2</v>
      </c>
      <c r="J261" t="s">
        <v>48</v>
      </c>
      <c r="K261" s="5" t="s">
        <v>38</v>
      </c>
      <c r="L261" s="5" t="s">
        <v>49</v>
      </c>
      <c r="M261" s="5" t="s">
        <v>57</v>
      </c>
      <c r="N261" s="5" t="s">
        <v>58</v>
      </c>
      <c r="O261" s="5" t="s">
        <v>42</v>
      </c>
      <c r="P261" s="5" t="s">
        <v>15</v>
      </c>
      <c r="Q261" s="5" t="s">
        <v>17</v>
      </c>
      <c r="R261" s="5" t="s">
        <v>43</v>
      </c>
      <c r="S261" s="5" t="s">
        <v>21</v>
      </c>
      <c r="T261" s="6" t="s">
        <v>23</v>
      </c>
      <c r="U261" s="6">
        <v>1</v>
      </c>
      <c r="V261" s="6" t="s">
        <v>76</v>
      </c>
      <c r="W261" s="6">
        <v>1</v>
      </c>
      <c r="X261" s="6" t="s">
        <v>46</v>
      </c>
      <c r="Y261">
        <v>1</v>
      </c>
      <c r="Z261" s="5" t="s">
        <v>46</v>
      </c>
      <c r="AA261" s="5" t="s">
        <v>46</v>
      </c>
      <c r="AB261" s="5" t="s">
        <v>46</v>
      </c>
    </row>
    <row r="262" spans="1:28" x14ac:dyDescent="0.35">
      <c r="A262" s="8" t="s">
        <v>1368</v>
      </c>
      <c r="B262" s="5" t="s">
        <v>341</v>
      </c>
      <c r="C262">
        <v>1984</v>
      </c>
      <c r="D262">
        <f t="shared" ca="1" si="7"/>
        <v>41</v>
      </c>
      <c r="E262" s="5" t="s">
        <v>6</v>
      </c>
      <c r="F262" t="s">
        <v>55</v>
      </c>
      <c r="G262" t="str">
        <f t="shared" si="8"/>
        <v>500.000–1.000.000</v>
      </c>
      <c r="H262" t="s">
        <v>30</v>
      </c>
      <c r="I262">
        <v>3</v>
      </c>
      <c r="J262" t="s">
        <v>8</v>
      </c>
      <c r="K262" s="5" t="s">
        <v>38</v>
      </c>
      <c r="L262" s="5" t="s">
        <v>11</v>
      </c>
      <c r="M262" s="5" t="s">
        <v>57</v>
      </c>
      <c r="N262" s="5" t="s">
        <v>58</v>
      </c>
      <c r="O262" s="5" t="s">
        <v>42</v>
      </c>
      <c r="P262" s="5" t="s">
        <v>15</v>
      </c>
      <c r="Q262" s="5" t="s">
        <v>17</v>
      </c>
      <c r="R262" s="5" t="s">
        <v>43</v>
      </c>
      <c r="S262" s="5" t="s">
        <v>21</v>
      </c>
      <c r="T262" s="6" t="s">
        <v>23</v>
      </c>
      <c r="U262" s="6">
        <v>1</v>
      </c>
      <c r="V262" s="6" t="s">
        <v>76</v>
      </c>
      <c r="W262" s="6">
        <v>1</v>
      </c>
      <c r="X262" s="6" t="s">
        <v>46</v>
      </c>
      <c r="Y262">
        <v>2</v>
      </c>
      <c r="Z262" s="5" t="s">
        <v>46</v>
      </c>
      <c r="AA262" s="5" t="s">
        <v>46</v>
      </c>
      <c r="AB262" s="5" t="s">
        <v>46</v>
      </c>
    </row>
    <row r="263" spans="1:28" x14ac:dyDescent="0.35">
      <c r="A263" s="8" t="s">
        <v>1369</v>
      </c>
      <c r="B263" s="5" t="s">
        <v>342</v>
      </c>
      <c r="C263">
        <v>1985</v>
      </c>
      <c r="D263">
        <f t="shared" ca="1" si="7"/>
        <v>40</v>
      </c>
      <c r="E263" s="5" t="s">
        <v>28</v>
      </c>
      <c r="F263" t="s">
        <v>29</v>
      </c>
      <c r="G263" t="str">
        <f t="shared" si="8"/>
        <v>500.000–1.000.000</v>
      </c>
      <c r="H263" t="s">
        <v>7</v>
      </c>
      <c r="I263">
        <v>3</v>
      </c>
      <c r="J263" t="s">
        <v>8</v>
      </c>
      <c r="K263" s="5" t="s">
        <v>38</v>
      </c>
      <c r="L263" s="5" t="s">
        <v>11</v>
      </c>
      <c r="M263" s="5" t="s">
        <v>57</v>
      </c>
      <c r="N263" s="5" t="s">
        <v>58</v>
      </c>
      <c r="O263" s="5" t="s">
        <v>42</v>
      </c>
      <c r="P263" s="5" t="s">
        <v>15</v>
      </c>
      <c r="Q263" s="5" t="s">
        <v>17</v>
      </c>
      <c r="R263" s="5" t="s">
        <v>43</v>
      </c>
      <c r="S263" s="5" t="s">
        <v>21</v>
      </c>
      <c r="T263" s="6" t="s">
        <v>23</v>
      </c>
      <c r="U263" s="6">
        <v>1</v>
      </c>
      <c r="V263" s="6" t="s">
        <v>76</v>
      </c>
      <c r="W263" s="6">
        <v>1</v>
      </c>
      <c r="X263" s="6" t="s">
        <v>46</v>
      </c>
      <c r="Y263">
        <v>2</v>
      </c>
      <c r="Z263" s="5" t="s">
        <v>46</v>
      </c>
      <c r="AA263" s="5" t="s">
        <v>46</v>
      </c>
      <c r="AB263" s="5" t="s">
        <v>46</v>
      </c>
    </row>
    <row r="264" spans="1:28" x14ac:dyDescent="0.35">
      <c r="A264" s="8" t="s">
        <v>1370</v>
      </c>
      <c r="B264" s="5" t="s">
        <v>343</v>
      </c>
      <c r="C264">
        <v>1981</v>
      </c>
      <c r="D264">
        <f t="shared" ca="1" si="7"/>
        <v>44</v>
      </c>
      <c r="E264" s="5" t="s">
        <v>6</v>
      </c>
      <c r="F264" t="s">
        <v>54</v>
      </c>
      <c r="G264" t="str">
        <f t="shared" si="8"/>
        <v>1.000.000–2.000.000</v>
      </c>
      <c r="H264" t="s">
        <v>139</v>
      </c>
      <c r="I264">
        <v>3</v>
      </c>
      <c r="J264" t="s">
        <v>8</v>
      </c>
      <c r="K264" s="5" t="s">
        <v>38</v>
      </c>
      <c r="L264" s="5" t="s">
        <v>11</v>
      </c>
      <c r="M264" s="5" t="s">
        <v>57</v>
      </c>
      <c r="N264" s="5" t="s">
        <v>58</v>
      </c>
      <c r="O264" s="5" t="s">
        <v>42</v>
      </c>
      <c r="P264" s="5" t="s">
        <v>15</v>
      </c>
      <c r="Q264" s="5" t="s">
        <v>17</v>
      </c>
      <c r="R264" s="5" t="s">
        <v>43</v>
      </c>
      <c r="S264" s="5" t="s">
        <v>21</v>
      </c>
      <c r="T264" s="6" t="s">
        <v>23</v>
      </c>
      <c r="U264" s="6">
        <v>1</v>
      </c>
      <c r="V264" s="6" t="s">
        <v>26</v>
      </c>
      <c r="W264" s="6">
        <v>1</v>
      </c>
      <c r="X264" s="6" t="s">
        <v>46</v>
      </c>
      <c r="Y264">
        <v>2</v>
      </c>
      <c r="Z264" s="5" t="s">
        <v>44</v>
      </c>
      <c r="AA264" s="5" t="s">
        <v>46</v>
      </c>
      <c r="AB264" s="5" t="s">
        <v>46</v>
      </c>
    </row>
    <row r="265" spans="1:28" x14ac:dyDescent="0.35">
      <c r="A265" s="8" t="s">
        <v>1371</v>
      </c>
      <c r="B265" s="5" t="s">
        <v>344</v>
      </c>
      <c r="C265">
        <v>1980</v>
      </c>
      <c r="D265">
        <f t="shared" ca="1" si="7"/>
        <v>45</v>
      </c>
      <c r="E265" s="5" t="s">
        <v>28</v>
      </c>
      <c r="F265" t="s">
        <v>29</v>
      </c>
      <c r="G265" t="str">
        <f t="shared" si="8"/>
        <v>500.000–1.000.000</v>
      </c>
      <c r="H265" t="s">
        <v>139</v>
      </c>
      <c r="I265">
        <v>3</v>
      </c>
      <c r="J265" t="s">
        <v>8</v>
      </c>
      <c r="K265" s="5" t="s">
        <v>38</v>
      </c>
      <c r="L265" s="5" t="s">
        <v>11</v>
      </c>
      <c r="M265" s="5" t="s">
        <v>57</v>
      </c>
      <c r="N265" s="5" t="s">
        <v>58</v>
      </c>
      <c r="O265" s="5" t="s">
        <v>42</v>
      </c>
      <c r="P265" s="5" t="s">
        <v>15</v>
      </c>
      <c r="Q265" s="5" t="s">
        <v>17</v>
      </c>
      <c r="R265" s="5" t="s">
        <v>43</v>
      </c>
      <c r="S265" s="5" t="s">
        <v>21</v>
      </c>
      <c r="T265" s="6" t="s">
        <v>23</v>
      </c>
      <c r="U265" s="6">
        <v>1</v>
      </c>
      <c r="V265" s="6" t="s">
        <v>26</v>
      </c>
      <c r="W265" s="6">
        <v>1</v>
      </c>
      <c r="X265" s="6" t="s">
        <v>46</v>
      </c>
      <c r="Y265">
        <v>2</v>
      </c>
      <c r="Z265" s="5" t="s">
        <v>44</v>
      </c>
      <c r="AA265" s="5" t="s">
        <v>46</v>
      </c>
      <c r="AB265" s="5" t="s">
        <v>46</v>
      </c>
    </row>
    <row r="266" spans="1:28" x14ac:dyDescent="0.35">
      <c r="A266" s="8" t="s">
        <v>1372</v>
      </c>
      <c r="B266" s="5" t="s">
        <v>345</v>
      </c>
      <c r="C266">
        <v>1978</v>
      </c>
      <c r="D266">
        <f t="shared" ca="1" si="7"/>
        <v>47</v>
      </c>
      <c r="E266" s="5" t="s">
        <v>6</v>
      </c>
      <c r="F266" t="s">
        <v>162</v>
      </c>
      <c r="G266" t="str">
        <f t="shared" si="8"/>
        <v>1.000.000–2.000.000</v>
      </c>
      <c r="H266" t="s">
        <v>7</v>
      </c>
      <c r="I266">
        <v>3</v>
      </c>
      <c r="J266" t="s">
        <v>8</v>
      </c>
      <c r="K266" s="5" t="s">
        <v>38</v>
      </c>
      <c r="L266" s="5" t="s">
        <v>49</v>
      </c>
      <c r="M266" s="5" t="s">
        <v>57</v>
      </c>
      <c r="N266" s="5" t="s">
        <v>58</v>
      </c>
      <c r="O266" s="5" t="s">
        <v>42</v>
      </c>
      <c r="P266" s="5" t="s">
        <v>15</v>
      </c>
      <c r="Q266" s="5" t="s">
        <v>17</v>
      </c>
      <c r="R266" s="5" t="s">
        <v>43</v>
      </c>
      <c r="S266" s="5" t="s">
        <v>21</v>
      </c>
      <c r="T266" s="6" t="s">
        <v>23</v>
      </c>
      <c r="U266" s="6">
        <v>1</v>
      </c>
      <c r="V266" s="6" t="s">
        <v>249</v>
      </c>
      <c r="W266" s="6">
        <v>1</v>
      </c>
      <c r="X266" s="6" t="s">
        <v>46</v>
      </c>
      <c r="Y266">
        <v>3</v>
      </c>
      <c r="Z266" s="5" t="s">
        <v>46</v>
      </c>
      <c r="AA266" s="5" t="s">
        <v>46</v>
      </c>
      <c r="AB266" s="5" t="s">
        <v>46</v>
      </c>
    </row>
    <row r="267" spans="1:28" x14ac:dyDescent="0.35">
      <c r="A267" s="8" t="s">
        <v>1373</v>
      </c>
      <c r="B267" s="5" t="s">
        <v>346</v>
      </c>
      <c r="C267">
        <v>1984</v>
      </c>
      <c r="D267">
        <f t="shared" ca="1" si="7"/>
        <v>41</v>
      </c>
      <c r="E267" s="5" t="s">
        <v>28</v>
      </c>
      <c r="F267" t="s">
        <v>119</v>
      </c>
      <c r="G267" t="str">
        <f t="shared" si="8"/>
        <v>500.000–1.000.000</v>
      </c>
      <c r="H267" t="s">
        <v>7</v>
      </c>
      <c r="I267">
        <v>3</v>
      </c>
      <c r="J267" t="s">
        <v>8</v>
      </c>
      <c r="K267" s="5" t="s">
        <v>38</v>
      </c>
      <c r="L267" s="5" t="s">
        <v>49</v>
      </c>
      <c r="M267" s="5" t="s">
        <v>57</v>
      </c>
      <c r="N267" s="5" t="s">
        <v>58</v>
      </c>
      <c r="O267" s="5" t="s">
        <v>42</v>
      </c>
      <c r="P267" s="5" t="s">
        <v>15</v>
      </c>
      <c r="Q267" s="5" t="s">
        <v>17</v>
      </c>
      <c r="R267" s="5" t="s">
        <v>43</v>
      </c>
      <c r="S267" s="5" t="s">
        <v>21</v>
      </c>
      <c r="T267" s="6" t="s">
        <v>23</v>
      </c>
      <c r="U267" s="6">
        <v>1</v>
      </c>
      <c r="V267" s="6" t="s">
        <v>249</v>
      </c>
      <c r="W267" s="6">
        <v>1</v>
      </c>
      <c r="X267" s="6" t="s">
        <v>46</v>
      </c>
      <c r="Y267">
        <v>3</v>
      </c>
      <c r="Z267" s="5" t="s">
        <v>46</v>
      </c>
      <c r="AA267" s="5" t="s">
        <v>46</v>
      </c>
      <c r="AB267" s="5" t="s">
        <v>46</v>
      </c>
    </row>
    <row r="268" spans="1:28" x14ac:dyDescent="0.35">
      <c r="A268" s="8" t="s">
        <v>1374</v>
      </c>
      <c r="B268" s="5" t="s">
        <v>347</v>
      </c>
      <c r="C268">
        <v>1949</v>
      </c>
      <c r="D268">
        <f t="shared" ca="1" si="7"/>
        <v>76</v>
      </c>
      <c r="E268" s="5" t="s">
        <v>6</v>
      </c>
      <c r="F268" t="s">
        <v>29</v>
      </c>
      <c r="G268" t="str">
        <f t="shared" si="8"/>
        <v>&lt;500.000</v>
      </c>
      <c r="H268" t="s">
        <v>30</v>
      </c>
      <c r="I268">
        <v>0</v>
      </c>
      <c r="J268" t="s">
        <v>8</v>
      </c>
      <c r="K268" s="5" t="s">
        <v>114</v>
      </c>
      <c r="L268" s="5" t="s">
        <v>11</v>
      </c>
      <c r="M268" s="5" t="s">
        <v>57</v>
      </c>
      <c r="N268" s="5" t="s">
        <v>58</v>
      </c>
      <c r="O268" s="5" t="s">
        <v>42</v>
      </c>
      <c r="P268" s="5" t="s">
        <v>15</v>
      </c>
      <c r="Q268" s="5" t="s">
        <v>17</v>
      </c>
      <c r="R268" s="5" t="s">
        <v>43</v>
      </c>
      <c r="S268" s="5" t="s">
        <v>21</v>
      </c>
      <c r="T268" s="6" t="s">
        <v>23</v>
      </c>
      <c r="U268" s="6">
        <v>1</v>
      </c>
      <c r="V268" s="6" t="s">
        <v>26</v>
      </c>
      <c r="W268" s="6">
        <v>1</v>
      </c>
      <c r="X268" s="6" t="s">
        <v>46</v>
      </c>
      <c r="Y268">
        <v>0</v>
      </c>
      <c r="Z268" s="5" t="s">
        <v>46</v>
      </c>
      <c r="AA268" s="5" t="s">
        <v>64</v>
      </c>
      <c r="AB268" s="5" t="s">
        <v>35</v>
      </c>
    </row>
    <row r="269" spans="1:28" x14ac:dyDescent="0.35">
      <c r="A269" s="8" t="s">
        <v>1375</v>
      </c>
      <c r="B269" s="5" t="s">
        <v>348</v>
      </c>
      <c r="C269">
        <v>1952</v>
      </c>
      <c r="D269">
        <f t="shared" ca="1" si="7"/>
        <v>73</v>
      </c>
      <c r="E269" s="5" t="s">
        <v>28</v>
      </c>
      <c r="F269" t="s">
        <v>55</v>
      </c>
      <c r="G269" t="str">
        <f t="shared" si="8"/>
        <v>500.000–1.000.000</v>
      </c>
      <c r="H269" t="s">
        <v>30</v>
      </c>
      <c r="I269">
        <v>0</v>
      </c>
      <c r="J269" t="s">
        <v>8</v>
      </c>
      <c r="K269" s="5" t="s">
        <v>114</v>
      </c>
      <c r="L269" s="5" t="s">
        <v>11</v>
      </c>
      <c r="M269" s="5" t="s">
        <v>57</v>
      </c>
      <c r="N269" s="5" t="s">
        <v>58</v>
      </c>
      <c r="O269" s="5" t="s">
        <v>42</v>
      </c>
      <c r="P269" s="5" t="s">
        <v>15</v>
      </c>
      <c r="Q269" s="5" t="s">
        <v>17</v>
      </c>
      <c r="R269" s="5" t="s">
        <v>43</v>
      </c>
      <c r="S269" s="5" t="s">
        <v>21</v>
      </c>
      <c r="T269" s="6" t="s">
        <v>23</v>
      </c>
      <c r="U269" s="6">
        <v>1</v>
      </c>
      <c r="V269" s="6" t="s">
        <v>26</v>
      </c>
      <c r="W269" s="6">
        <v>1</v>
      </c>
      <c r="X269" s="6" t="s">
        <v>46</v>
      </c>
      <c r="Y269">
        <v>0</v>
      </c>
      <c r="Z269" s="5" t="s">
        <v>46</v>
      </c>
      <c r="AA269" s="5" t="s">
        <v>64</v>
      </c>
      <c r="AB269" s="5" t="s">
        <v>35</v>
      </c>
    </row>
    <row r="270" spans="1:28" x14ac:dyDescent="0.35">
      <c r="A270" s="8" t="s">
        <v>1376</v>
      </c>
      <c r="B270" s="5" t="s">
        <v>349</v>
      </c>
      <c r="C270">
        <v>1983</v>
      </c>
      <c r="D270">
        <f t="shared" ca="1" si="7"/>
        <v>42</v>
      </c>
      <c r="E270" s="5" t="s">
        <v>6</v>
      </c>
      <c r="F270" t="s">
        <v>29</v>
      </c>
      <c r="G270" t="str">
        <f t="shared" si="8"/>
        <v>&lt;500.000</v>
      </c>
      <c r="H270" t="s">
        <v>63</v>
      </c>
      <c r="I270">
        <v>2</v>
      </c>
      <c r="J270" t="s">
        <v>48</v>
      </c>
      <c r="K270" s="5" t="s">
        <v>38</v>
      </c>
      <c r="L270" s="5" t="s">
        <v>11</v>
      </c>
      <c r="M270" s="5" t="s">
        <v>57</v>
      </c>
      <c r="N270" s="5" t="s">
        <v>58</v>
      </c>
      <c r="O270" s="5" t="s">
        <v>42</v>
      </c>
      <c r="P270" s="5" t="s">
        <v>15</v>
      </c>
      <c r="Q270" s="5" t="s">
        <v>17</v>
      </c>
      <c r="R270" s="5" t="s">
        <v>43</v>
      </c>
      <c r="S270" s="5" t="s">
        <v>21</v>
      </c>
      <c r="T270" s="6" t="s">
        <v>73</v>
      </c>
      <c r="U270" s="6">
        <v>0</v>
      </c>
      <c r="V270" s="6" t="s">
        <v>26</v>
      </c>
      <c r="W270" s="6">
        <v>1</v>
      </c>
      <c r="X270" s="6" t="s">
        <v>46</v>
      </c>
      <c r="Y270">
        <v>0</v>
      </c>
      <c r="Z270" s="5" t="s">
        <v>64</v>
      </c>
      <c r="AA270" s="5" t="s">
        <v>46</v>
      </c>
      <c r="AB270" s="5" t="s">
        <v>46</v>
      </c>
    </row>
    <row r="271" spans="1:28" x14ac:dyDescent="0.35">
      <c r="A271" s="8" t="s">
        <v>1377</v>
      </c>
      <c r="B271" s="5" t="s">
        <v>350</v>
      </c>
      <c r="C271">
        <v>1996</v>
      </c>
      <c r="D271">
        <f t="shared" ca="1" si="7"/>
        <v>29</v>
      </c>
      <c r="E271" s="5" t="s">
        <v>28</v>
      </c>
      <c r="F271" t="s">
        <v>29</v>
      </c>
      <c r="G271" t="str">
        <f t="shared" si="8"/>
        <v>500.000–1.000.000</v>
      </c>
      <c r="H271" t="s">
        <v>139</v>
      </c>
      <c r="I271">
        <v>2</v>
      </c>
      <c r="J271" t="s">
        <v>48</v>
      </c>
      <c r="K271" s="5" t="s">
        <v>38</v>
      </c>
      <c r="L271" s="5" t="s">
        <v>11</v>
      </c>
      <c r="M271" s="5" t="s">
        <v>57</v>
      </c>
      <c r="N271" s="5" t="s">
        <v>58</v>
      </c>
      <c r="O271" s="5" t="s">
        <v>42</v>
      </c>
      <c r="P271" s="5" t="s">
        <v>15</v>
      </c>
      <c r="Q271" s="5" t="s">
        <v>17</v>
      </c>
      <c r="R271" s="5" t="s">
        <v>43</v>
      </c>
      <c r="S271" s="5" t="s">
        <v>21</v>
      </c>
      <c r="T271" s="6" t="s">
        <v>73</v>
      </c>
      <c r="U271" s="6">
        <v>0</v>
      </c>
      <c r="V271" s="6" t="s">
        <v>26</v>
      </c>
      <c r="W271" s="6">
        <v>1</v>
      </c>
      <c r="X271" s="6" t="s">
        <v>46</v>
      </c>
      <c r="Y271">
        <v>0</v>
      </c>
      <c r="Z271" s="5" t="s">
        <v>64</v>
      </c>
      <c r="AA271" s="5" t="s">
        <v>46</v>
      </c>
      <c r="AB271" s="5" t="s">
        <v>46</v>
      </c>
    </row>
    <row r="272" spans="1:28" x14ac:dyDescent="0.35">
      <c r="A272" s="8" t="s">
        <v>1378</v>
      </c>
      <c r="B272" s="5" t="s">
        <v>351</v>
      </c>
      <c r="C272">
        <v>1969</v>
      </c>
      <c r="D272">
        <f t="shared" ca="1" si="7"/>
        <v>56</v>
      </c>
      <c r="E272" s="5" t="s">
        <v>6</v>
      </c>
      <c r="F272" t="s">
        <v>29</v>
      </c>
      <c r="G272" t="str">
        <f t="shared" si="8"/>
        <v>&lt;500.000</v>
      </c>
      <c r="H272" t="s">
        <v>63</v>
      </c>
      <c r="I272">
        <v>2</v>
      </c>
      <c r="J272" t="s">
        <v>8</v>
      </c>
      <c r="K272" s="5" t="s">
        <v>38</v>
      </c>
      <c r="L272" s="5" t="s">
        <v>11</v>
      </c>
      <c r="M272" s="5" t="s">
        <v>57</v>
      </c>
      <c r="N272" s="5" t="s">
        <v>58</v>
      </c>
      <c r="O272" s="5" t="s">
        <v>42</v>
      </c>
      <c r="P272" s="5" t="s">
        <v>15</v>
      </c>
      <c r="Q272" s="5" t="s">
        <v>17</v>
      </c>
      <c r="R272" s="5" t="s">
        <v>43</v>
      </c>
      <c r="S272" s="5" t="s">
        <v>21</v>
      </c>
      <c r="T272" s="6" t="s">
        <v>23</v>
      </c>
      <c r="U272" s="6">
        <v>1</v>
      </c>
      <c r="V272" s="6" t="s">
        <v>26</v>
      </c>
      <c r="W272" s="6">
        <v>1</v>
      </c>
      <c r="X272" s="6" t="s">
        <v>46</v>
      </c>
      <c r="Y272">
        <v>0</v>
      </c>
      <c r="Z272" s="5" t="s">
        <v>46</v>
      </c>
      <c r="AA272" s="5" t="s">
        <v>46</v>
      </c>
      <c r="AB272" s="5" t="s">
        <v>46</v>
      </c>
    </row>
    <row r="273" spans="1:28" x14ac:dyDescent="0.35">
      <c r="A273" s="8" t="s">
        <v>1379</v>
      </c>
      <c r="B273" s="5" t="s">
        <v>258</v>
      </c>
      <c r="C273">
        <v>1963</v>
      </c>
      <c r="D273">
        <f t="shared" ca="1" si="7"/>
        <v>62</v>
      </c>
      <c r="E273" s="5" t="s">
        <v>6</v>
      </c>
      <c r="F273" t="s">
        <v>29</v>
      </c>
      <c r="G273" t="str">
        <f t="shared" si="8"/>
        <v>&lt;500.000</v>
      </c>
      <c r="H273" t="s">
        <v>63</v>
      </c>
      <c r="I273">
        <v>0</v>
      </c>
      <c r="J273" t="s">
        <v>8</v>
      </c>
      <c r="K273" s="5" t="s">
        <v>114</v>
      </c>
      <c r="L273" s="5" t="s">
        <v>11</v>
      </c>
      <c r="M273" s="5" t="s">
        <v>57</v>
      </c>
      <c r="N273" s="5" t="s">
        <v>58</v>
      </c>
      <c r="O273" s="5" t="s">
        <v>42</v>
      </c>
      <c r="P273" s="5" t="s">
        <v>15</v>
      </c>
      <c r="Q273" s="5" t="s">
        <v>17</v>
      </c>
      <c r="R273" s="5" t="s">
        <v>43</v>
      </c>
      <c r="S273" s="5" t="s">
        <v>21</v>
      </c>
      <c r="T273" s="6" t="s">
        <v>73</v>
      </c>
      <c r="U273" s="6">
        <v>0</v>
      </c>
      <c r="V273" s="6" t="s">
        <v>73</v>
      </c>
      <c r="W273" s="6">
        <v>0</v>
      </c>
      <c r="X273" s="6" t="s">
        <v>46</v>
      </c>
      <c r="Y273">
        <v>0</v>
      </c>
      <c r="Z273" s="5" t="s">
        <v>46</v>
      </c>
      <c r="AA273" s="5" t="s">
        <v>44</v>
      </c>
      <c r="AB273" s="5" t="s">
        <v>46</v>
      </c>
    </row>
    <row r="274" spans="1:28" x14ac:dyDescent="0.35">
      <c r="A274" s="8" t="s">
        <v>1380</v>
      </c>
      <c r="B274" s="5" t="s">
        <v>352</v>
      </c>
      <c r="C274">
        <v>1972</v>
      </c>
      <c r="D274">
        <f t="shared" ca="1" si="7"/>
        <v>53</v>
      </c>
      <c r="E274" s="5" t="s">
        <v>6</v>
      </c>
      <c r="F274" t="s">
        <v>29</v>
      </c>
      <c r="G274" t="str">
        <f t="shared" si="8"/>
        <v>&lt;500.000</v>
      </c>
      <c r="H274" t="s">
        <v>63</v>
      </c>
      <c r="I274">
        <v>2</v>
      </c>
      <c r="J274" t="s">
        <v>48</v>
      </c>
      <c r="K274" s="5" t="s">
        <v>38</v>
      </c>
      <c r="L274" s="5" t="s">
        <v>49</v>
      </c>
      <c r="M274" s="5" t="s">
        <v>57</v>
      </c>
      <c r="N274" s="5" t="s">
        <v>58</v>
      </c>
      <c r="O274" s="5" t="s">
        <v>42</v>
      </c>
      <c r="P274" s="5" t="s">
        <v>15</v>
      </c>
      <c r="Q274" s="5" t="s">
        <v>17</v>
      </c>
      <c r="R274" s="5" t="s">
        <v>43</v>
      </c>
      <c r="S274" s="5" t="s">
        <v>21</v>
      </c>
      <c r="T274" s="6" t="s">
        <v>73</v>
      </c>
      <c r="U274" s="6">
        <v>0</v>
      </c>
      <c r="V274" s="6" t="s">
        <v>26</v>
      </c>
      <c r="W274" s="6">
        <v>1</v>
      </c>
      <c r="X274" s="6" t="s">
        <v>46</v>
      </c>
      <c r="Y274">
        <v>1</v>
      </c>
      <c r="Z274" s="5" t="s">
        <v>46</v>
      </c>
      <c r="AA274" s="5" t="s">
        <v>46</v>
      </c>
      <c r="AB274" s="5" t="s">
        <v>74</v>
      </c>
    </row>
    <row r="275" spans="1:28" x14ac:dyDescent="0.35">
      <c r="A275" s="8" t="s">
        <v>1381</v>
      </c>
      <c r="B275" s="5" t="s">
        <v>353</v>
      </c>
      <c r="C275">
        <v>1979</v>
      </c>
      <c r="D275">
        <f t="shared" ca="1" si="7"/>
        <v>46</v>
      </c>
      <c r="E275" s="5" t="s">
        <v>28</v>
      </c>
      <c r="F275" t="s">
        <v>29</v>
      </c>
      <c r="G275" t="str">
        <f t="shared" si="8"/>
        <v>&lt;500.000</v>
      </c>
      <c r="H275" t="s">
        <v>30</v>
      </c>
      <c r="I275">
        <v>2</v>
      </c>
      <c r="J275" t="s">
        <v>48</v>
      </c>
      <c r="K275" s="5" t="s">
        <v>38</v>
      </c>
      <c r="L275" s="5" t="s">
        <v>49</v>
      </c>
      <c r="M275" s="5" t="s">
        <v>57</v>
      </c>
      <c r="N275" s="5" t="s">
        <v>58</v>
      </c>
      <c r="O275" s="5" t="s">
        <v>42</v>
      </c>
      <c r="P275" s="5" t="s">
        <v>15</v>
      </c>
      <c r="Q275" s="5" t="s">
        <v>17</v>
      </c>
      <c r="R275" s="5" t="s">
        <v>43</v>
      </c>
      <c r="S275" s="5" t="s">
        <v>21</v>
      </c>
      <c r="T275" s="6" t="s">
        <v>73</v>
      </c>
      <c r="U275" s="6">
        <v>0</v>
      </c>
      <c r="V275" s="6" t="s">
        <v>26</v>
      </c>
      <c r="W275" s="6">
        <v>1</v>
      </c>
      <c r="X275" s="6" t="s">
        <v>46</v>
      </c>
      <c r="Y275">
        <v>1</v>
      </c>
      <c r="Z275" s="5" t="s">
        <v>46</v>
      </c>
      <c r="AA275" s="5" t="s">
        <v>46</v>
      </c>
      <c r="AB275" s="5" t="s">
        <v>74</v>
      </c>
    </row>
    <row r="276" spans="1:28" x14ac:dyDescent="0.35">
      <c r="A276" s="8" t="s">
        <v>1382</v>
      </c>
      <c r="B276" s="5" t="s">
        <v>354</v>
      </c>
      <c r="C276">
        <v>1953</v>
      </c>
      <c r="D276">
        <f t="shared" ca="1" si="7"/>
        <v>72</v>
      </c>
      <c r="E276" s="5" t="s">
        <v>6</v>
      </c>
      <c r="F276" t="s">
        <v>29</v>
      </c>
      <c r="G276" t="str">
        <f t="shared" si="8"/>
        <v>&lt;500.000</v>
      </c>
      <c r="H276" t="s">
        <v>30</v>
      </c>
      <c r="I276">
        <v>0</v>
      </c>
      <c r="J276" t="s">
        <v>8</v>
      </c>
      <c r="K276" s="5" t="s">
        <v>38</v>
      </c>
      <c r="L276" s="5" t="s">
        <v>49</v>
      </c>
      <c r="M276" s="5" t="s">
        <v>40</v>
      </c>
      <c r="N276" s="5" t="s">
        <v>37</v>
      </c>
      <c r="O276" s="5" t="s">
        <v>42</v>
      </c>
      <c r="P276" s="5" t="s">
        <v>133</v>
      </c>
      <c r="Q276" s="5" t="s">
        <v>17</v>
      </c>
      <c r="R276" s="5" t="s">
        <v>43</v>
      </c>
      <c r="S276" s="5" t="s">
        <v>21</v>
      </c>
      <c r="T276" s="6" t="s">
        <v>73</v>
      </c>
      <c r="U276" s="6">
        <v>0</v>
      </c>
      <c r="V276" s="6" t="s">
        <v>117</v>
      </c>
      <c r="W276" s="6">
        <v>1</v>
      </c>
      <c r="X276" s="6" t="s">
        <v>46</v>
      </c>
      <c r="Y276">
        <v>0</v>
      </c>
      <c r="Z276" s="5" t="s">
        <v>46</v>
      </c>
      <c r="AA276" s="5" t="s">
        <v>44</v>
      </c>
      <c r="AB276" s="5" t="s">
        <v>74</v>
      </c>
    </row>
    <row r="277" spans="1:28" x14ac:dyDescent="0.35">
      <c r="A277" s="8" t="s">
        <v>1383</v>
      </c>
      <c r="B277" s="5" t="s">
        <v>355</v>
      </c>
      <c r="C277">
        <v>1993</v>
      </c>
      <c r="D277">
        <f t="shared" ca="1" si="7"/>
        <v>32</v>
      </c>
      <c r="E277" s="5" t="s">
        <v>6</v>
      </c>
      <c r="F277" t="s">
        <v>137</v>
      </c>
      <c r="G277" t="str">
        <f t="shared" si="8"/>
        <v>1.000.000–2.000.000</v>
      </c>
      <c r="H277" t="s">
        <v>139</v>
      </c>
      <c r="I277">
        <v>0</v>
      </c>
      <c r="J277" t="s">
        <v>8</v>
      </c>
      <c r="K277" s="5" t="s">
        <v>38</v>
      </c>
      <c r="L277" s="5" t="s">
        <v>11</v>
      </c>
      <c r="M277" s="5" t="s">
        <v>40</v>
      </c>
      <c r="N277" s="5" t="s">
        <v>37</v>
      </c>
      <c r="O277" s="5" t="s">
        <v>42</v>
      </c>
      <c r="P277" s="5" t="s">
        <v>15</v>
      </c>
      <c r="Q277" s="5" t="s">
        <v>17</v>
      </c>
      <c r="R277" s="5" t="s">
        <v>43</v>
      </c>
      <c r="S277" s="5" t="s">
        <v>21</v>
      </c>
      <c r="T277" s="6" t="s">
        <v>23</v>
      </c>
      <c r="U277" s="6">
        <v>1</v>
      </c>
      <c r="V277" s="6" t="s">
        <v>26</v>
      </c>
      <c r="W277" s="6">
        <v>1</v>
      </c>
      <c r="X277" s="6" t="s">
        <v>46</v>
      </c>
      <c r="Y277">
        <v>0</v>
      </c>
      <c r="Z277" s="5" t="s">
        <v>46</v>
      </c>
      <c r="AA277" s="5" t="s">
        <v>46</v>
      </c>
      <c r="AB277" s="5" t="s">
        <v>46</v>
      </c>
    </row>
    <row r="278" spans="1:28" x14ac:dyDescent="0.35">
      <c r="A278" s="8" t="s">
        <v>1384</v>
      </c>
      <c r="B278" s="5" t="s">
        <v>356</v>
      </c>
      <c r="C278">
        <v>1995</v>
      </c>
      <c r="D278">
        <f t="shared" ca="1" si="7"/>
        <v>30</v>
      </c>
      <c r="E278" s="5" t="s">
        <v>28</v>
      </c>
      <c r="F278" t="s">
        <v>29</v>
      </c>
      <c r="G278" t="str">
        <f t="shared" si="8"/>
        <v>500.000–1.000.000</v>
      </c>
      <c r="H278" t="s">
        <v>139</v>
      </c>
      <c r="I278">
        <v>0</v>
      </c>
      <c r="J278" t="s">
        <v>8</v>
      </c>
      <c r="K278" s="5" t="s">
        <v>38</v>
      </c>
      <c r="L278" s="5" t="s">
        <v>11</v>
      </c>
      <c r="M278" s="5" t="s">
        <v>40</v>
      </c>
      <c r="N278" s="5" t="s">
        <v>37</v>
      </c>
      <c r="O278" s="5" t="s">
        <v>42</v>
      </c>
      <c r="P278" s="5" t="s">
        <v>15</v>
      </c>
      <c r="Q278" s="5" t="s">
        <v>17</v>
      </c>
      <c r="R278" s="5" t="s">
        <v>43</v>
      </c>
      <c r="S278" s="5" t="s">
        <v>21</v>
      </c>
      <c r="T278" s="6" t="s">
        <v>23</v>
      </c>
      <c r="U278" s="6">
        <v>1</v>
      </c>
      <c r="V278" s="6" t="s">
        <v>26</v>
      </c>
      <c r="W278" s="6">
        <v>1</v>
      </c>
      <c r="X278" s="6" t="s">
        <v>46</v>
      </c>
      <c r="Y278">
        <v>0</v>
      </c>
      <c r="Z278" s="5" t="s">
        <v>46</v>
      </c>
      <c r="AA278" s="5" t="s">
        <v>46</v>
      </c>
      <c r="AB278" s="5" t="s">
        <v>46</v>
      </c>
    </row>
    <row r="279" spans="1:28" x14ac:dyDescent="0.35">
      <c r="A279" s="8" t="s">
        <v>1385</v>
      </c>
      <c r="B279" s="5" t="s">
        <v>357</v>
      </c>
      <c r="C279">
        <v>1960</v>
      </c>
      <c r="D279">
        <f t="shared" ca="1" si="7"/>
        <v>65</v>
      </c>
      <c r="E279" s="5" t="s">
        <v>6</v>
      </c>
      <c r="F279" t="s">
        <v>119</v>
      </c>
      <c r="G279" t="str">
        <f t="shared" si="8"/>
        <v>&lt;500.000</v>
      </c>
      <c r="H279" t="s">
        <v>30</v>
      </c>
      <c r="I279">
        <v>1</v>
      </c>
      <c r="J279" t="s">
        <v>8</v>
      </c>
      <c r="K279" s="5" t="s">
        <v>38</v>
      </c>
      <c r="L279" s="5" t="s">
        <v>11</v>
      </c>
      <c r="M279" s="5" t="s">
        <v>57</v>
      </c>
      <c r="N279" s="5" t="s">
        <v>58</v>
      </c>
      <c r="O279" s="5" t="s">
        <v>42</v>
      </c>
      <c r="P279" s="5" t="s">
        <v>15</v>
      </c>
      <c r="Q279" s="5" t="s">
        <v>17</v>
      </c>
      <c r="R279" s="5" t="s">
        <v>43</v>
      </c>
      <c r="S279" s="5" t="s">
        <v>21</v>
      </c>
      <c r="T279" s="6" t="s">
        <v>23</v>
      </c>
      <c r="U279" s="6">
        <v>1</v>
      </c>
      <c r="V279" s="6" t="s">
        <v>26</v>
      </c>
      <c r="W279" s="6">
        <v>1</v>
      </c>
      <c r="X279" s="6" t="s">
        <v>46</v>
      </c>
      <c r="Y279">
        <v>0</v>
      </c>
      <c r="Z279" s="5" t="s">
        <v>46</v>
      </c>
      <c r="AA279" s="5" t="s">
        <v>64</v>
      </c>
      <c r="AB279" s="5" t="s">
        <v>46</v>
      </c>
    </row>
    <row r="280" spans="1:28" x14ac:dyDescent="0.35">
      <c r="A280" s="8" t="s">
        <v>1386</v>
      </c>
      <c r="B280" s="5" t="s">
        <v>358</v>
      </c>
      <c r="C280">
        <v>1964</v>
      </c>
      <c r="D280">
        <f t="shared" ca="1" si="7"/>
        <v>61</v>
      </c>
      <c r="E280" s="5" t="s">
        <v>28</v>
      </c>
      <c r="F280" t="s">
        <v>162</v>
      </c>
      <c r="G280" t="str">
        <f t="shared" si="8"/>
        <v>1.000.000–2.000.000</v>
      </c>
      <c r="H280" t="s">
        <v>30</v>
      </c>
      <c r="I280">
        <v>1</v>
      </c>
      <c r="J280" t="s">
        <v>8</v>
      </c>
      <c r="K280" s="5" t="s">
        <v>38</v>
      </c>
      <c r="L280" s="5" t="s">
        <v>11</v>
      </c>
      <c r="M280" s="5" t="s">
        <v>57</v>
      </c>
      <c r="N280" s="5" t="s">
        <v>58</v>
      </c>
      <c r="O280" s="5" t="s">
        <v>42</v>
      </c>
      <c r="P280" s="5" t="s">
        <v>15</v>
      </c>
      <c r="Q280" s="5" t="s">
        <v>17</v>
      </c>
      <c r="R280" s="5" t="s">
        <v>43</v>
      </c>
      <c r="S280" s="5" t="s">
        <v>21</v>
      </c>
      <c r="T280" s="6" t="s">
        <v>23</v>
      </c>
      <c r="U280" s="6">
        <v>1</v>
      </c>
      <c r="V280" s="6" t="s">
        <v>26</v>
      </c>
      <c r="W280" s="6">
        <v>1</v>
      </c>
      <c r="X280" s="6" t="s">
        <v>46</v>
      </c>
      <c r="Y280">
        <v>0</v>
      </c>
      <c r="Z280" s="5" t="s">
        <v>46</v>
      </c>
      <c r="AA280" s="5" t="s">
        <v>64</v>
      </c>
      <c r="AB280" s="5" t="s">
        <v>46</v>
      </c>
    </row>
    <row r="281" spans="1:28" x14ac:dyDescent="0.35">
      <c r="A281" s="8" t="s">
        <v>1387</v>
      </c>
      <c r="B281" s="5" t="s">
        <v>359</v>
      </c>
      <c r="C281">
        <v>1974</v>
      </c>
      <c r="D281">
        <f t="shared" ca="1" si="7"/>
        <v>51</v>
      </c>
      <c r="E281" s="5" t="s">
        <v>6</v>
      </c>
      <c r="F281" t="s">
        <v>55</v>
      </c>
      <c r="G281" t="str">
        <f t="shared" si="8"/>
        <v>500.000–1.000.000</v>
      </c>
      <c r="H281" t="s">
        <v>7</v>
      </c>
      <c r="I281">
        <v>2</v>
      </c>
      <c r="J281" t="s">
        <v>8</v>
      </c>
      <c r="K281" s="5" t="s">
        <v>114</v>
      </c>
      <c r="L281" s="5" t="s">
        <v>11</v>
      </c>
      <c r="M281" s="5" t="s">
        <v>57</v>
      </c>
      <c r="N281" s="5" t="s">
        <v>58</v>
      </c>
      <c r="O281" s="5" t="s">
        <v>42</v>
      </c>
      <c r="P281" s="5" t="s">
        <v>15</v>
      </c>
      <c r="Q281" s="5" t="s">
        <v>17</v>
      </c>
      <c r="R281" s="5" t="s">
        <v>43</v>
      </c>
      <c r="S281" s="5" t="s">
        <v>21</v>
      </c>
      <c r="T281" s="6" t="s">
        <v>84</v>
      </c>
      <c r="U281" s="6">
        <v>1</v>
      </c>
      <c r="V281" s="6" t="s">
        <v>26</v>
      </c>
      <c r="W281" s="6">
        <v>1</v>
      </c>
      <c r="X281" s="6" t="s">
        <v>60</v>
      </c>
      <c r="Y281">
        <v>1</v>
      </c>
      <c r="Z281" s="5" t="s">
        <v>46</v>
      </c>
      <c r="AA281" s="5" t="s">
        <v>46</v>
      </c>
      <c r="AB281" s="5" t="s">
        <v>46</v>
      </c>
    </row>
    <row r="282" spans="1:28" x14ac:dyDescent="0.35">
      <c r="A282" s="8" t="s">
        <v>1388</v>
      </c>
      <c r="B282" s="5" t="s">
        <v>360</v>
      </c>
      <c r="C282">
        <v>1977</v>
      </c>
      <c r="D282">
        <f t="shared" ca="1" si="7"/>
        <v>48</v>
      </c>
      <c r="E282" s="5" t="s">
        <v>28</v>
      </c>
      <c r="F282" t="s">
        <v>29</v>
      </c>
      <c r="G282" t="str">
        <f t="shared" si="8"/>
        <v>&lt;500.000</v>
      </c>
      <c r="H282" t="s">
        <v>30</v>
      </c>
      <c r="I282">
        <v>2</v>
      </c>
      <c r="J282" t="s">
        <v>8</v>
      </c>
      <c r="K282" s="5" t="s">
        <v>114</v>
      </c>
      <c r="L282" s="5" t="s">
        <v>11</v>
      </c>
      <c r="M282" s="5" t="s">
        <v>57</v>
      </c>
      <c r="N282" s="5" t="s">
        <v>58</v>
      </c>
      <c r="O282" s="5" t="s">
        <v>42</v>
      </c>
      <c r="P282" s="5" t="s">
        <v>15</v>
      </c>
      <c r="Q282" s="5" t="s">
        <v>17</v>
      </c>
      <c r="R282" s="5" t="s">
        <v>43</v>
      </c>
      <c r="S282" s="5" t="s">
        <v>21</v>
      </c>
      <c r="T282" s="6" t="s">
        <v>84</v>
      </c>
      <c r="U282" s="6">
        <v>1</v>
      </c>
      <c r="V282" s="6" t="s">
        <v>26</v>
      </c>
      <c r="W282" s="6">
        <v>1</v>
      </c>
      <c r="X282" s="6" t="s">
        <v>60</v>
      </c>
      <c r="Y282">
        <v>1</v>
      </c>
      <c r="Z282" s="5" t="s">
        <v>46</v>
      </c>
      <c r="AA282" s="5" t="s">
        <v>46</v>
      </c>
      <c r="AB282" s="5" t="s">
        <v>46</v>
      </c>
    </row>
    <row r="283" spans="1:28" x14ac:dyDescent="0.35">
      <c r="A283" s="8" t="s">
        <v>1389</v>
      </c>
      <c r="B283" s="5" t="s">
        <v>361</v>
      </c>
      <c r="C283">
        <v>1971</v>
      </c>
      <c r="D283">
        <f t="shared" ca="1" si="7"/>
        <v>54</v>
      </c>
      <c r="E283" s="5" t="s">
        <v>6</v>
      </c>
      <c r="F283" t="s">
        <v>137</v>
      </c>
      <c r="G283" t="str">
        <f t="shared" si="8"/>
        <v>500.000–1.000.000</v>
      </c>
      <c r="H283" t="s">
        <v>7</v>
      </c>
      <c r="I283">
        <v>3</v>
      </c>
      <c r="J283" t="s">
        <v>8</v>
      </c>
      <c r="K283" s="5" t="s">
        <v>38</v>
      </c>
      <c r="L283" s="5" t="s">
        <v>11</v>
      </c>
      <c r="M283" s="5" t="s">
        <v>57</v>
      </c>
      <c r="N283" s="5" t="s">
        <v>58</v>
      </c>
      <c r="O283" s="5" t="s">
        <v>42</v>
      </c>
      <c r="P283" s="5" t="s">
        <v>15</v>
      </c>
      <c r="Q283" s="5" t="s">
        <v>17</v>
      </c>
      <c r="R283" s="5" t="s">
        <v>43</v>
      </c>
      <c r="S283" s="5" t="s">
        <v>21</v>
      </c>
      <c r="T283" s="6" t="s">
        <v>23</v>
      </c>
      <c r="U283" s="6">
        <v>1</v>
      </c>
      <c r="V283" s="6" t="s">
        <v>26</v>
      </c>
      <c r="W283" s="6">
        <v>1</v>
      </c>
      <c r="X283" s="6" t="s">
        <v>44</v>
      </c>
      <c r="Y283">
        <v>1</v>
      </c>
      <c r="Z283" s="5" t="s">
        <v>46</v>
      </c>
      <c r="AA283" s="5" t="s">
        <v>46</v>
      </c>
      <c r="AB283" s="5" t="s">
        <v>46</v>
      </c>
    </row>
    <row r="284" spans="1:28" x14ac:dyDescent="0.35">
      <c r="A284" s="8" t="s">
        <v>1390</v>
      </c>
      <c r="B284" s="5" t="s">
        <v>362</v>
      </c>
      <c r="C284">
        <v>1971</v>
      </c>
      <c r="D284">
        <f t="shared" ca="1" si="7"/>
        <v>54</v>
      </c>
      <c r="E284" s="5" t="s">
        <v>28</v>
      </c>
      <c r="F284" t="s">
        <v>29</v>
      </c>
      <c r="G284" t="str">
        <f t="shared" si="8"/>
        <v>500.000–1.000.000</v>
      </c>
      <c r="H284" t="s">
        <v>7</v>
      </c>
      <c r="I284">
        <v>3</v>
      </c>
      <c r="J284" t="s">
        <v>8</v>
      </c>
      <c r="K284" s="5" t="s">
        <v>38</v>
      </c>
      <c r="L284" s="5" t="s">
        <v>11</v>
      </c>
      <c r="M284" s="5" t="s">
        <v>57</v>
      </c>
      <c r="N284" s="5" t="s">
        <v>58</v>
      </c>
      <c r="O284" s="5" t="s">
        <v>42</v>
      </c>
      <c r="P284" s="5" t="s">
        <v>15</v>
      </c>
      <c r="Q284" s="5" t="s">
        <v>17</v>
      </c>
      <c r="R284" s="5" t="s">
        <v>43</v>
      </c>
      <c r="S284" s="5" t="s">
        <v>21</v>
      </c>
      <c r="T284" s="6" t="s">
        <v>23</v>
      </c>
      <c r="U284" s="6">
        <v>1</v>
      </c>
      <c r="V284" s="6" t="s">
        <v>26</v>
      </c>
      <c r="W284" s="6">
        <v>1</v>
      </c>
      <c r="X284" s="6" t="s">
        <v>44</v>
      </c>
      <c r="Y284">
        <v>1</v>
      </c>
      <c r="Z284" s="5" t="s">
        <v>46</v>
      </c>
      <c r="AA284" s="5" t="s">
        <v>46</v>
      </c>
      <c r="AB284" s="5" t="s">
        <v>46</v>
      </c>
    </row>
    <row r="285" spans="1:28" x14ac:dyDescent="0.35">
      <c r="A285" s="8" t="s">
        <v>1391</v>
      </c>
      <c r="B285" s="5" t="s">
        <v>363</v>
      </c>
      <c r="C285">
        <v>1949</v>
      </c>
      <c r="D285">
        <f t="shared" ca="1" si="7"/>
        <v>76</v>
      </c>
      <c r="E285" s="5" t="s">
        <v>6</v>
      </c>
      <c r="F285" t="s">
        <v>29</v>
      </c>
      <c r="G285" t="str">
        <f t="shared" si="8"/>
        <v>&lt;500.000</v>
      </c>
      <c r="H285" t="s">
        <v>30</v>
      </c>
      <c r="I285">
        <v>0</v>
      </c>
      <c r="J285" t="s">
        <v>8</v>
      </c>
      <c r="K285" s="5" t="s">
        <v>38</v>
      </c>
      <c r="L285" s="5" t="s">
        <v>11</v>
      </c>
      <c r="M285" s="5" t="s">
        <v>40</v>
      </c>
      <c r="N285" s="5" t="s">
        <v>37</v>
      </c>
      <c r="O285" s="5" t="s">
        <v>42</v>
      </c>
      <c r="P285" s="5" t="s">
        <v>15</v>
      </c>
      <c r="Q285" s="5" t="s">
        <v>17</v>
      </c>
      <c r="R285" s="5" t="s">
        <v>43</v>
      </c>
      <c r="S285" s="5" t="s">
        <v>21</v>
      </c>
      <c r="T285" s="6" t="s">
        <v>92</v>
      </c>
      <c r="U285" s="6">
        <v>1</v>
      </c>
      <c r="V285" s="6" t="s">
        <v>117</v>
      </c>
      <c r="W285" s="6">
        <v>1</v>
      </c>
      <c r="X285" s="6" t="s">
        <v>46</v>
      </c>
      <c r="Y285">
        <v>0</v>
      </c>
      <c r="Z285" s="5" t="s">
        <v>46</v>
      </c>
      <c r="AA285" s="5" t="s">
        <v>44</v>
      </c>
      <c r="AB285" s="5" t="s">
        <v>46</v>
      </c>
    </row>
    <row r="286" spans="1:28" x14ac:dyDescent="0.35">
      <c r="A286" s="8" t="s">
        <v>1392</v>
      </c>
      <c r="B286" s="5" t="s">
        <v>364</v>
      </c>
      <c r="C286">
        <v>1970</v>
      </c>
      <c r="D286">
        <f t="shared" ref="D286:D349" ca="1" si="9">YEAR(TODAY()) - C286</f>
        <v>55</v>
      </c>
      <c r="E286" s="5" t="s">
        <v>6</v>
      </c>
      <c r="F286" t="s">
        <v>151</v>
      </c>
      <c r="G286" t="str">
        <f t="shared" si="8"/>
        <v>500.000–1.000.000</v>
      </c>
      <c r="H286" t="s">
        <v>7</v>
      </c>
      <c r="I286">
        <v>1</v>
      </c>
      <c r="J286" t="s">
        <v>8</v>
      </c>
      <c r="K286" s="5" t="s">
        <v>114</v>
      </c>
      <c r="L286" s="5" t="s">
        <v>11</v>
      </c>
      <c r="M286" s="5" t="s">
        <v>57</v>
      </c>
      <c r="N286" s="5" t="s">
        <v>58</v>
      </c>
      <c r="O286" s="5" t="s">
        <v>42</v>
      </c>
      <c r="P286" s="5" t="s">
        <v>15</v>
      </c>
      <c r="Q286" s="5" t="s">
        <v>17</v>
      </c>
      <c r="R286" s="5" t="s">
        <v>43</v>
      </c>
      <c r="S286" s="5" t="s">
        <v>21</v>
      </c>
      <c r="T286" s="6" t="s">
        <v>23</v>
      </c>
      <c r="U286" s="6">
        <v>1</v>
      </c>
      <c r="V286" s="6" t="s">
        <v>26</v>
      </c>
      <c r="W286" s="6">
        <v>1</v>
      </c>
      <c r="X286" s="6" t="s">
        <v>46</v>
      </c>
      <c r="Y286">
        <v>1</v>
      </c>
      <c r="Z286" s="5" t="s">
        <v>46</v>
      </c>
      <c r="AA286" s="5" t="s">
        <v>46</v>
      </c>
      <c r="AB286" s="5" t="s">
        <v>46</v>
      </c>
    </row>
    <row r="287" spans="1:28" x14ac:dyDescent="0.35">
      <c r="A287" s="8" t="s">
        <v>1393</v>
      </c>
      <c r="B287" s="5" t="s">
        <v>320</v>
      </c>
      <c r="C287">
        <v>1975</v>
      </c>
      <c r="D287">
        <f t="shared" ca="1" si="9"/>
        <v>50</v>
      </c>
      <c r="E287" s="5" t="s">
        <v>28</v>
      </c>
      <c r="F287" t="s">
        <v>29</v>
      </c>
      <c r="G287" t="str">
        <f t="shared" si="8"/>
        <v>&lt;500.000</v>
      </c>
      <c r="H287" t="s">
        <v>30</v>
      </c>
      <c r="I287">
        <v>1</v>
      </c>
      <c r="J287" t="s">
        <v>8</v>
      </c>
      <c r="K287" s="5" t="s">
        <v>114</v>
      </c>
      <c r="L287" s="5" t="s">
        <v>11</v>
      </c>
      <c r="M287" s="5" t="s">
        <v>57</v>
      </c>
      <c r="N287" s="5" t="s">
        <v>58</v>
      </c>
      <c r="O287" s="5" t="s">
        <v>42</v>
      </c>
      <c r="P287" s="5" t="s">
        <v>15</v>
      </c>
      <c r="Q287" s="5" t="s">
        <v>17</v>
      </c>
      <c r="R287" s="5" t="s">
        <v>43</v>
      </c>
      <c r="S287" s="5" t="s">
        <v>21</v>
      </c>
      <c r="T287" s="6" t="s">
        <v>23</v>
      </c>
      <c r="U287" s="6">
        <v>1</v>
      </c>
      <c r="V287" s="6" t="s">
        <v>26</v>
      </c>
      <c r="W287" s="6">
        <v>1</v>
      </c>
      <c r="X287" s="6" t="s">
        <v>46</v>
      </c>
      <c r="Y287">
        <v>1</v>
      </c>
      <c r="Z287" s="5" t="s">
        <v>46</v>
      </c>
      <c r="AA287" s="5" t="s">
        <v>46</v>
      </c>
      <c r="AB287" s="5" t="s">
        <v>46</v>
      </c>
    </row>
    <row r="288" spans="1:28" x14ac:dyDescent="0.35">
      <c r="A288" s="8" t="s">
        <v>1394</v>
      </c>
      <c r="B288" s="5" t="s">
        <v>365</v>
      </c>
      <c r="C288">
        <v>1993</v>
      </c>
      <c r="D288">
        <f t="shared" ca="1" si="9"/>
        <v>32</v>
      </c>
      <c r="E288" s="5" t="s">
        <v>6</v>
      </c>
      <c r="F288" t="s">
        <v>54</v>
      </c>
      <c r="G288" t="str">
        <f t="shared" si="8"/>
        <v>1.000.000–2.000.000</v>
      </c>
      <c r="H288" t="s">
        <v>139</v>
      </c>
      <c r="I288">
        <v>2</v>
      </c>
      <c r="J288" t="s">
        <v>8</v>
      </c>
      <c r="K288" s="5" t="s">
        <v>38</v>
      </c>
      <c r="L288" s="5" t="s">
        <v>11</v>
      </c>
      <c r="M288" s="5" t="s">
        <v>40</v>
      </c>
      <c r="N288" s="5" t="s">
        <v>37</v>
      </c>
      <c r="O288" s="5" t="s">
        <v>42</v>
      </c>
      <c r="P288" s="5" t="s">
        <v>15</v>
      </c>
      <c r="Q288" s="5" t="s">
        <v>17</v>
      </c>
      <c r="R288" s="5" t="s">
        <v>87</v>
      </c>
      <c r="S288" s="5" t="s">
        <v>21</v>
      </c>
      <c r="T288" s="6" t="s">
        <v>23</v>
      </c>
      <c r="U288" s="6">
        <v>1</v>
      </c>
      <c r="V288" s="6" t="s">
        <v>26</v>
      </c>
      <c r="W288" s="6">
        <v>1</v>
      </c>
      <c r="X288" s="6" t="s">
        <v>44</v>
      </c>
      <c r="Y288">
        <v>1</v>
      </c>
      <c r="Z288" s="5" t="s">
        <v>44</v>
      </c>
      <c r="AA288" s="5" t="s">
        <v>46</v>
      </c>
      <c r="AB288" s="5" t="s">
        <v>46</v>
      </c>
    </row>
    <row r="289" spans="1:28" x14ac:dyDescent="0.35">
      <c r="A289" s="8" t="s">
        <v>1395</v>
      </c>
      <c r="B289" s="5" t="s">
        <v>366</v>
      </c>
      <c r="C289">
        <v>1996</v>
      </c>
      <c r="D289">
        <f t="shared" ca="1" si="9"/>
        <v>29</v>
      </c>
      <c r="E289" s="5" t="s">
        <v>28</v>
      </c>
      <c r="F289" t="s">
        <v>29</v>
      </c>
      <c r="G289" t="str">
        <f t="shared" si="8"/>
        <v>500.000–1.000.000</v>
      </c>
      <c r="H289" t="s">
        <v>7</v>
      </c>
      <c r="I289">
        <v>2</v>
      </c>
      <c r="J289" t="s">
        <v>8</v>
      </c>
      <c r="K289" s="5" t="s">
        <v>38</v>
      </c>
      <c r="L289" s="5" t="s">
        <v>11</v>
      </c>
      <c r="M289" s="5" t="s">
        <v>40</v>
      </c>
      <c r="N289" s="5" t="s">
        <v>37</v>
      </c>
      <c r="O289" s="5" t="s">
        <v>42</v>
      </c>
      <c r="P289" s="5" t="s">
        <v>15</v>
      </c>
      <c r="Q289" s="5" t="s">
        <v>17</v>
      </c>
      <c r="R289" s="5" t="s">
        <v>87</v>
      </c>
      <c r="S289" s="5" t="s">
        <v>21</v>
      </c>
      <c r="T289" s="6" t="s">
        <v>23</v>
      </c>
      <c r="U289" s="6">
        <v>1</v>
      </c>
      <c r="V289" s="6" t="s">
        <v>26</v>
      </c>
      <c r="W289" s="6">
        <v>1</v>
      </c>
      <c r="X289" s="6" t="s">
        <v>44</v>
      </c>
      <c r="Y289">
        <v>1</v>
      </c>
      <c r="Z289" s="5" t="s">
        <v>44</v>
      </c>
      <c r="AA289" s="5" t="s">
        <v>46</v>
      </c>
      <c r="AB289" s="5" t="s">
        <v>46</v>
      </c>
    </row>
    <row r="290" spans="1:28" x14ac:dyDescent="0.35">
      <c r="A290" s="8" t="s">
        <v>1396</v>
      </c>
      <c r="B290" s="5" t="s">
        <v>367</v>
      </c>
      <c r="C290">
        <v>1985</v>
      </c>
      <c r="D290">
        <f t="shared" ca="1" si="9"/>
        <v>40</v>
      </c>
      <c r="E290" s="5" t="s">
        <v>6</v>
      </c>
      <c r="F290" t="s">
        <v>137</v>
      </c>
      <c r="G290" t="str">
        <f t="shared" si="8"/>
        <v>500.000–1.000.000</v>
      </c>
      <c r="H290" t="s">
        <v>7</v>
      </c>
      <c r="I290">
        <v>3</v>
      </c>
      <c r="J290" t="s">
        <v>8</v>
      </c>
      <c r="K290" s="5" t="s">
        <v>38</v>
      </c>
      <c r="L290" s="5" t="s">
        <v>11</v>
      </c>
      <c r="M290" s="5" t="s">
        <v>57</v>
      </c>
      <c r="N290" s="5" t="s">
        <v>58</v>
      </c>
      <c r="O290" s="5" t="s">
        <v>42</v>
      </c>
      <c r="P290" s="5" t="s">
        <v>15</v>
      </c>
      <c r="Q290" s="5" t="s">
        <v>17</v>
      </c>
      <c r="R290" s="5" t="s">
        <v>43</v>
      </c>
      <c r="S290" s="5" t="s">
        <v>21</v>
      </c>
      <c r="T290" s="6" t="s">
        <v>23</v>
      </c>
      <c r="U290" s="6">
        <v>1</v>
      </c>
      <c r="V290" s="6" t="s">
        <v>26</v>
      </c>
      <c r="W290" s="6">
        <v>1</v>
      </c>
      <c r="X290" s="6" t="s">
        <v>46</v>
      </c>
      <c r="Y290">
        <v>3</v>
      </c>
      <c r="Z290" s="5" t="s">
        <v>46</v>
      </c>
      <c r="AA290" s="5" t="s">
        <v>46</v>
      </c>
      <c r="AB290" s="5" t="s">
        <v>46</v>
      </c>
    </row>
    <row r="291" spans="1:28" x14ac:dyDescent="0.35">
      <c r="A291" s="8" t="s">
        <v>1397</v>
      </c>
      <c r="B291" s="5" t="s">
        <v>368</v>
      </c>
      <c r="C291">
        <v>1987</v>
      </c>
      <c r="D291">
        <f t="shared" ca="1" si="9"/>
        <v>38</v>
      </c>
      <c r="E291" s="5" t="s">
        <v>28</v>
      </c>
      <c r="F291" t="s">
        <v>55</v>
      </c>
      <c r="G291" t="str">
        <f t="shared" si="8"/>
        <v>500.000–1.000.000</v>
      </c>
      <c r="H291" t="s">
        <v>7</v>
      </c>
      <c r="I291">
        <v>3</v>
      </c>
      <c r="J291" t="s">
        <v>8</v>
      </c>
      <c r="K291" s="5" t="s">
        <v>38</v>
      </c>
      <c r="L291" s="5" t="s">
        <v>11</v>
      </c>
      <c r="M291" s="5" t="s">
        <v>57</v>
      </c>
      <c r="N291" s="5" t="s">
        <v>58</v>
      </c>
      <c r="O291" s="5" t="s">
        <v>42</v>
      </c>
      <c r="P291" s="5" t="s">
        <v>15</v>
      </c>
      <c r="Q291" s="5" t="s">
        <v>17</v>
      </c>
      <c r="R291" s="5" t="s">
        <v>43</v>
      </c>
      <c r="S291" s="5" t="s">
        <v>21</v>
      </c>
      <c r="T291" s="6" t="s">
        <v>23</v>
      </c>
      <c r="U291" s="6">
        <v>1</v>
      </c>
      <c r="V291" s="6" t="s">
        <v>26</v>
      </c>
      <c r="W291" s="6">
        <v>1</v>
      </c>
      <c r="X291" s="6" t="s">
        <v>46</v>
      </c>
      <c r="Y291">
        <v>3</v>
      </c>
      <c r="Z291" s="5" t="s">
        <v>46</v>
      </c>
      <c r="AA291" s="5" t="s">
        <v>46</v>
      </c>
      <c r="AB291" s="5" t="s">
        <v>46</v>
      </c>
    </row>
    <row r="292" spans="1:28" x14ac:dyDescent="0.35">
      <c r="A292" s="8" t="s">
        <v>1398</v>
      </c>
      <c r="B292" s="5" t="s">
        <v>369</v>
      </c>
      <c r="C292">
        <v>1987</v>
      </c>
      <c r="D292">
        <f t="shared" ca="1" si="9"/>
        <v>38</v>
      </c>
      <c r="E292" s="5" t="s">
        <v>6</v>
      </c>
      <c r="F292" t="s">
        <v>29</v>
      </c>
      <c r="G292" t="str">
        <f t="shared" si="8"/>
        <v>&lt;500.000</v>
      </c>
      <c r="H292" t="s">
        <v>63</v>
      </c>
      <c r="I292">
        <v>2</v>
      </c>
      <c r="J292" t="s">
        <v>48</v>
      </c>
      <c r="K292" s="5" t="s">
        <v>38</v>
      </c>
      <c r="L292" s="5" t="s">
        <v>49</v>
      </c>
      <c r="M292" s="5" t="s">
        <v>57</v>
      </c>
      <c r="N292" s="5" t="s">
        <v>58</v>
      </c>
      <c r="O292" s="5" t="s">
        <v>89</v>
      </c>
      <c r="P292" s="5" t="s">
        <v>15</v>
      </c>
      <c r="Q292" s="5" t="s">
        <v>17</v>
      </c>
      <c r="R292" s="5" t="s">
        <v>43</v>
      </c>
      <c r="S292" s="5" t="s">
        <v>21</v>
      </c>
      <c r="T292" s="6" t="s">
        <v>73</v>
      </c>
      <c r="U292" s="6">
        <v>0</v>
      </c>
      <c r="V292" s="6" t="s">
        <v>73</v>
      </c>
      <c r="W292" s="6">
        <v>0</v>
      </c>
      <c r="X292" s="6" t="s">
        <v>46</v>
      </c>
      <c r="Y292">
        <v>1</v>
      </c>
      <c r="Z292" s="5" t="s">
        <v>44</v>
      </c>
      <c r="AA292" s="5" t="s">
        <v>46</v>
      </c>
      <c r="AB292" s="5" t="s">
        <v>46</v>
      </c>
    </row>
    <row r="293" spans="1:28" x14ac:dyDescent="0.35">
      <c r="A293" s="8" t="s">
        <v>1399</v>
      </c>
      <c r="B293" s="5" t="s">
        <v>370</v>
      </c>
      <c r="C293">
        <v>1990</v>
      </c>
      <c r="D293">
        <f t="shared" ca="1" si="9"/>
        <v>35</v>
      </c>
      <c r="E293" s="5" t="s">
        <v>28</v>
      </c>
      <c r="F293" t="s">
        <v>29</v>
      </c>
      <c r="G293" t="str">
        <f t="shared" si="8"/>
        <v>&lt;500.000</v>
      </c>
      <c r="H293" t="s">
        <v>63</v>
      </c>
      <c r="I293">
        <v>2</v>
      </c>
      <c r="J293" t="s">
        <v>48</v>
      </c>
      <c r="K293" s="5" t="s">
        <v>38</v>
      </c>
      <c r="L293" s="5" t="s">
        <v>49</v>
      </c>
      <c r="M293" s="5" t="s">
        <v>57</v>
      </c>
      <c r="N293" s="5" t="s">
        <v>58</v>
      </c>
      <c r="O293" s="5" t="s">
        <v>89</v>
      </c>
      <c r="P293" s="5" t="s">
        <v>15</v>
      </c>
      <c r="Q293" s="5" t="s">
        <v>17</v>
      </c>
      <c r="R293" s="5" t="s">
        <v>43</v>
      </c>
      <c r="S293" s="5" t="s">
        <v>21</v>
      </c>
      <c r="T293" s="6" t="s">
        <v>73</v>
      </c>
      <c r="U293" s="6">
        <v>0</v>
      </c>
      <c r="V293" s="6" t="s">
        <v>73</v>
      </c>
      <c r="W293" s="6">
        <v>0</v>
      </c>
      <c r="X293" s="6" t="s">
        <v>46</v>
      </c>
      <c r="Y293">
        <v>1</v>
      </c>
      <c r="Z293" s="5" t="s">
        <v>44</v>
      </c>
      <c r="AA293" s="5" t="s">
        <v>46</v>
      </c>
      <c r="AB293" s="5" t="s">
        <v>46</v>
      </c>
    </row>
    <row r="294" spans="1:28" x14ac:dyDescent="0.35">
      <c r="A294" s="8" t="s">
        <v>1400</v>
      </c>
      <c r="B294" s="5" t="s">
        <v>371</v>
      </c>
      <c r="C294">
        <v>1946</v>
      </c>
      <c r="D294">
        <f t="shared" ca="1" si="9"/>
        <v>79</v>
      </c>
      <c r="E294" s="5" t="s">
        <v>6</v>
      </c>
      <c r="F294" t="s">
        <v>29</v>
      </c>
      <c r="G294" t="str">
        <f t="shared" si="8"/>
        <v>&lt;500.000</v>
      </c>
      <c r="H294" t="s">
        <v>30</v>
      </c>
      <c r="I294">
        <v>0</v>
      </c>
      <c r="J294" t="s">
        <v>8</v>
      </c>
      <c r="K294" s="5" t="s">
        <v>38</v>
      </c>
      <c r="L294" s="5" t="s">
        <v>11</v>
      </c>
      <c r="M294" s="5" t="s">
        <v>57</v>
      </c>
      <c r="N294" s="5" t="s">
        <v>58</v>
      </c>
      <c r="O294" s="5" t="s">
        <v>42</v>
      </c>
      <c r="P294" s="5" t="s">
        <v>15</v>
      </c>
      <c r="Q294" s="5" t="s">
        <v>17</v>
      </c>
      <c r="R294" s="5" t="s">
        <v>43</v>
      </c>
      <c r="S294" s="5" t="s">
        <v>21</v>
      </c>
      <c r="T294" s="6" t="s">
        <v>73</v>
      </c>
      <c r="U294" s="6">
        <v>0</v>
      </c>
      <c r="V294" s="6" t="s">
        <v>73</v>
      </c>
      <c r="W294" s="6">
        <v>0</v>
      </c>
      <c r="X294" s="6" t="s">
        <v>46</v>
      </c>
      <c r="Y294">
        <v>0</v>
      </c>
      <c r="Z294" s="5" t="s">
        <v>46</v>
      </c>
      <c r="AA294" s="5" t="s">
        <v>44</v>
      </c>
      <c r="AB294" s="5" t="s">
        <v>46</v>
      </c>
    </row>
    <row r="295" spans="1:28" x14ac:dyDescent="0.35">
      <c r="A295" s="8" t="s">
        <v>1401</v>
      </c>
      <c r="B295" s="5" t="s">
        <v>372</v>
      </c>
      <c r="C295">
        <v>1948</v>
      </c>
      <c r="D295">
        <f t="shared" ca="1" si="9"/>
        <v>77</v>
      </c>
      <c r="E295" s="5" t="s">
        <v>6</v>
      </c>
      <c r="F295" t="s">
        <v>29</v>
      </c>
      <c r="G295" t="str">
        <f t="shared" si="8"/>
        <v>&lt;500.000</v>
      </c>
      <c r="H295" t="s">
        <v>30</v>
      </c>
      <c r="I295">
        <v>0</v>
      </c>
      <c r="J295" t="s">
        <v>8</v>
      </c>
      <c r="K295" s="5" t="s">
        <v>114</v>
      </c>
      <c r="L295" s="5" t="s">
        <v>11</v>
      </c>
      <c r="M295" s="5" t="s">
        <v>57</v>
      </c>
      <c r="N295" s="5" t="s">
        <v>58</v>
      </c>
      <c r="O295" s="5" t="s">
        <v>42</v>
      </c>
      <c r="P295" s="5" t="s">
        <v>15</v>
      </c>
      <c r="Q295" s="5" t="s">
        <v>17</v>
      </c>
      <c r="R295" s="5" t="s">
        <v>43</v>
      </c>
      <c r="S295" s="5" t="s">
        <v>21</v>
      </c>
      <c r="T295" s="6" t="s">
        <v>73</v>
      </c>
      <c r="U295" s="6">
        <v>0</v>
      </c>
      <c r="V295" s="6" t="s">
        <v>73</v>
      </c>
      <c r="W295" s="6">
        <v>0</v>
      </c>
      <c r="X295" s="6" t="s">
        <v>44</v>
      </c>
      <c r="Y295">
        <v>0</v>
      </c>
      <c r="Z295" s="5" t="s">
        <v>46</v>
      </c>
      <c r="AA295" s="5" t="s">
        <v>44</v>
      </c>
      <c r="AB295" s="5" t="s">
        <v>35</v>
      </c>
    </row>
    <row r="296" spans="1:28" x14ac:dyDescent="0.35">
      <c r="A296" s="8" t="s">
        <v>1402</v>
      </c>
      <c r="B296" s="5" t="s">
        <v>373</v>
      </c>
      <c r="C296">
        <v>1971</v>
      </c>
      <c r="D296">
        <f t="shared" ca="1" si="9"/>
        <v>54</v>
      </c>
      <c r="E296" s="5" t="s">
        <v>6</v>
      </c>
      <c r="F296" t="s">
        <v>162</v>
      </c>
      <c r="G296" t="str">
        <f t="shared" si="8"/>
        <v>1.000.000–2.000.000</v>
      </c>
      <c r="H296" t="s">
        <v>30</v>
      </c>
      <c r="I296">
        <v>3</v>
      </c>
      <c r="J296" t="s">
        <v>8</v>
      </c>
      <c r="K296" s="5" t="s">
        <v>114</v>
      </c>
      <c r="L296" s="5" t="s">
        <v>11</v>
      </c>
      <c r="M296" s="5" t="s">
        <v>57</v>
      </c>
      <c r="N296" s="5" t="s">
        <v>58</v>
      </c>
      <c r="O296" s="5" t="s">
        <v>42</v>
      </c>
      <c r="P296" s="5" t="s">
        <v>15</v>
      </c>
      <c r="Q296" s="5" t="s">
        <v>17</v>
      </c>
      <c r="R296" s="5" t="s">
        <v>43</v>
      </c>
      <c r="S296" s="5" t="s">
        <v>21</v>
      </c>
      <c r="T296" s="6" t="s">
        <v>23</v>
      </c>
      <c r="U296" s="6">
        <v>1</v>
      </c>
      <c r="V296" s="6" t="s">
        <v>26</v>
      </c>
      <c r="W296" s="6">
        <v>1</v>
      </c>
      <c r="X296" s="6" t="s">
        <v>60</v>
      </c>
      <c r="Y296">
        <v>2</v>
      </c>
      <c r="Z296" s="5" t="s">
        <v>46</v>
      </c>
      <c r="AA296" s="5" t="s">
        <v>46</v>
      </c>
      <c r="AB296" s="5" t="s">
        <v>46</v>
      </c>
    </row>
    <row r="297" spans="1:28" x14ac:dyDescent="0.35">
      <c r="A297" s="8" t="s">
        <v>1403</v>
      </c>
      <c r="B297" s="5" t="s">
        <v>374</v>
      </c>
      <c r="C297">
        <v>1974</v>
      </c>
      <c r="D297">
        <f t="shared" ca="1" si="9"/>
        <v>51</v>
      </c>
      <c r="E297" s="5" t="s">
        <v>28</v>
      </c>
      <c r="F297" t="s">
        <v>119</v>
      </c>
      <c r="G297" t="str">
        <f t="shared" si="8"/>
        <v>&lt;500.000</v>
      </c>
      <c r="H297" t="s">
        <v>30</v>
      </c>
      <c r="I297">
        <v>3</v>
      </c>
      <c r="J297" t="s">
        <v>8</v>
      </c>
      <c r="K297" s="5" t="s">
        <v>114</v>
      </c>
      <c r="L297" s="5" t="s">
        <v>11</v>
      </c>
      <c r="M297" s="5" t="s">
        <v>57</v>
      </c>
      <c r="N297" s="5" t="s">
        <v>58</v>
      </c>
      <c r="O297" s="5" t="s">
        <v>42</v>
      </c>
      <c r="P297" s="5" t="s">
        <v>15</v>
      </c>
      <c r="Q297" s="5" t="s">
        <v>17</v>
      </c>
      <c r="R297" s="5" t="s">
        <v>43</v>
      </c>
      <c r="S297" s="5" t="s">
        <v>21</v>
      </c>
      <c r="T297" s="6" t="s">
        <v>23</v>
      </c>
      <c r="U297" s="6">
        <v>1</v>
      </c>
      <c r="V297" s="6" t="s">
        <v>26</v>
      </c>
      <c r="W297" s="6">
        <v>1</v>
      </c>
      <c r="X297" s="6" t="s">
        <v>60</v>
      </c>
      <c r="Y297">
        <v>2</v>
      </c>
      <c r="Z297" s="5" t="s">
        <v>46</v>
      </c>
      <c r="AA297" s="5" t="s">
        <v>46</v>
      </c>
      <c r="AB297" s="5" t="s">
        <v>46</v>
      </c>
    </row>
    <row r="298" spans="1:28" x14ac:dyDescent="0.35">
      <c r="A298" s="8" t="s">
        <v>1404</v>
      </c>
      <c r="B298" s="5" t="s">
        <v>375</v>
      </c>
      <c r="C298">
        <v>1973</v>
      </c>
      <c r="D298">
        <f t="shared" ca="1" si="9"/>
        <v>52</v>
      </c>
      <c r="E298" s="5" t="s">
        <v>6</v>
      </c>
      <c r="F298" t="s">
        <v>137</v>
      </c>
      <c r="G298" t="str">
        <f t="shared" si="8"/>
        <v>1.000.000–2.000.000</v>
      </c>
      <c r="H298" t="s">
        <v>139</v>
      </c>
      <c r="I298">
        <v>4</v>
      </c>
      <c r="J298" t="s">
        <v>8</v>
      </c>
      <c r="K298" s="5" t="s">
        <v>10</v>
      </c>
      <c r="L298" s="5" t="s">
        <v>11</v>
      </c>
      <c r="M298" s="5" t="s">
        <v>40</v>
      </c>
      <c r="N298" s="5" t="s">
        <v>37</v>
      </c>
      <c r="O298" s="5" t="s">
        <v>42</v>
      </c>
      <c r="P298" s="5" t="s">
        <v>15</v>
      </c>
      <c r="Q298" s="5" t="s">
        <v>17</v>
      </c>
      <c r="R298" s="5" t="s">
        <v>87</v>
      </c>
      <c r="S298" s="5" t="s">
        <v>21</v>
      </c>
      <c r="T298" s="6" t="s">
        <v>23</v>
      </c>
      <c r="U298" s="6">
        <v>1</v>
      </c>
      <c r="V298" s="6" t="s">
        <v>26</v>
      </c>
      <c r="W298" s="6">
        <v>1</v>
      </c>
      <c r="X298" s="6" t="s">
        <v>46</v>
      </c>
      <c r="Y298">
        <v>2</v>
      </c>
      <c r="Z298" s="5" t="s">
        <v>44</v>
      </c>
      <c r="AA298" s="5" t="s">
        <v>46</v>
      </c>
      <c r="AB298" s="5" t="s">
        <v>46</v>
      </c>
    </row>
    <row r="299" spans="1:28" x14ac:dyDescent="0.35">
      <c r="A299" s="8" t="s">
        <v>1405</v>
      </c>
      <c r="B299" s="5" t="s">
        <v>376</v>
      </c>
      <c r="C299">
        <v>2000</v>
      </c>
      <c r="D299">
        <f t="shared" ca="1" si="9"/>
        <v>25</v>
      </c>
      <c r="E299" s="5" t="s">
        <v>28</v>
      </c>
      <c r="F299" t="s">
        <v>29</v>
      </c>
      <c r="G299" t="str">
        <f t="shared" si="8"/>
        <v>500.000–1.000.000</v>
      </c>
      <c r="H299" t="s">
        <v>139</v>
      </c>
      <c r="I299">
        <v>4</v>
      </c>
      <c r="J299" t="s">
        <v>8</v>
      </c>
      <c r="K299" s="5" t="s">
        <v>10</v>
      </c>
      <c r="L299" s="5" t="s">
        <v>11</v>
      </c>
      <c r="M299" s="5" t="s">
        <v>40</v>
      </c>
      <c r="N299" s="5" t="s">
        <v>37</v>
      </c>
      <c r="O299" s="5" t="s">
        <v>42</v>
      </c>
      <c r="P299" s="5" t="s">
        <v>15</v>
      </c>
      <c r="Q299" s="5" t="s">
        <v>17</v>
      </c>
      <c r="R299" s="5" t="s">
        <v>87</v>
      </c>
      <c r="S299" s="5" t="s">
        <v>21</v>
      </c>
      <c r="T299" s="6" t="s">
        <v>23</v>
      </c>
      <c r="U299" s="6">
        <v>1</v>
      </c>
      <c r="V299" s="6" t="s">
        <v>26</v>
      </c>
      <c r="W299" s="6">
        <v>1</v>
      </c>
      <c r="X299" s="6" t="s">
        <v>46</v>
      </c>
      <c r="Y299">
        <v>2</v>
      </c>
      <c r="Z299" s="5" t="s">
        <v>44</v>
      </c>
      <c r="AA299" s="5" t="s">
        <v>46</v>
      </c>
      <c r="AB299" s="5" t="s">
        <v>46</v>
      </c>
    </row>
    <row r="300" spans="1:28" x14ac:dyDescent="0.35">
      <c r="A300" s="8" t="s">
        <v>1406</v>
      </c>
      <c r="B300" s="5" t="s">
        <v>377</v>
      </c>
      <c r="C300">
        <v>1986</v>
      </c>
      <c r="D300">
        <f t="shared" ca="1" si="9"/>
        <v>39</v>
      </c>
      <c r="E300" s="5" t="s">
        <v>6</v>
      </c>
      <c r="F300" t="s">
        <v>29</v>
      </c>
      <c r="G300" t="str">
        <f t="shared" si="8"/>
        <v>&lt;500.000</v>
      </c>
      <c r="H300" t="s">
        <v>63</v>
      </c>
      <c r="I300">
        <v>2</v>
      </c>
      <c r="J300" t="s">
        <v>48</v>
      </c>
      <c r="K300" s="5" t="s">
        <v>38</v>
      </c>
      <c r="L300" s="5" t="s">
        <v>49</v>
      </c>
      <c r="M300" s="5" t="s">
        <v>40</v>
      </c>
      <c r="N300" s="5" t="s">
        <v>37</v>
      </c>
      <c r="O300" s="5" t="s">
        <v>42</v>
      </c>
      <c r="P300" s="5" t="s">
        <v>15</v>
      </c>
      <c r="Q300" s="5" t="s">
        <v>17</v>
      </c>
      <c r="R300" s="5" t="s">
        <v>43</v>
      </c>
      <c r="S300" s="5" t="s">
        <v>21</v>
      </c>
      <c r="T300" s="6" t="s">
        <v>23</v>
      </c>
      <c r="U300" s="6">
        <v>1</v>
      </c>
      <c r="V300" s="6" t="s">
        <v>76</v>
      </c>
      <c r="W300" s="6">
        <v>1</v>
      </c>
      <c r="X300" s="6" t="s">
        <v>46</v>
      </c>
      <c r="Y300">
        <v>0</v>
      </c>
      <c r="Z300" s="5" t="s">
        <v>46</v>
      </c>
      <c r="AA300" s="5" t="s">
        <v>46</v>
      </c>
      <c r="AB300" s="5" t="s">
        <v>46</v>
      </c>
    </row>
    <row r="301" spans="1:28" x14ac:dyDescent="0.35">
      <c r="A301" s="8" t="s">
        <v>1407</v>
      </c>
      <c r="B301" s="5" t="s">
        <v>145</v>
      </c>
      <c r="C301">
        <v>1956</v>
      </c>
      <c r="D301">
        <f t="shared" ca="1" si="9"/>
        <v>69</v>
      </c>
      <c r="E301" s="5" t="s">
        <v>6</v>
      </c>
      <c r="F301" t="s">
        <v>29</v>
      </c>
      <c r="G301" t="str">
        <f t="shared" si="8"/>
        <v>&lt;500.000</v>
      </c>
      <c r="H301" t="s">
        <v>30</v>
      </c>
      <c r="I301">
        <v>1</v>
      </c>
      <c r="J301" t="s">
        <v>8</v>
      </c>
      <c r="K301" s="5" t="s">
        <v>114</v>
      </c>
      <c r="L301" s="5" t="s">
        <v>11</v>
      </c>
      <c r="M301" s="5" t="s">
        <v>57</v>
      </c>
      <c r="N301" s="5" t="s">
        <v>58</v>
      </c>
      <c r="O301" s="5" t="s">
        <v>42</v>
      </c>
      <c r="P301" s="5" t="s">
        <v>15</v>
      </c>
      <c r="Q301" s="5" t="s">
        <v>17</v>
      </c>
      <c r="R301" s="5" t="s">
        <v>43</v>
      </c>
      <c r="S301" s="5" t="s">
        <v>21</v>
      </c>
      <c r="T301" s="6" t="s">
        <v>84</v>
      </c>
      <c r="U301" s="6">
        <v>1</v>
      </c>
      <c r="V301" s="6" t="s">
        <v>76</v>
      </c>
      <c r="W301" s="6">
        <v>1</v>
      </c>
      <c r="X301" s="6" t="s">
        <v>44</v>
      </c>
      <c r="Y301">
        <v>0</v>
      </c>
      <c r="Z301" s="5" t="s">
        <v>46</v>
      </c>
      <c r="AA301" s="5" t="s">
        <v>44</v>
      </c>
      <c r="AB301" s="5" t="s">
        <v>35</v>
      </c>
    </row>
    <row r="302" spans="1:28" x14ac:dyDescent="0.35">
      <c r="A302" s="8" t="s">
        <v>1408</v>
      </c>
      <c r="B302" s="5" t="s">
        <v>378</v>
      </c>
      <c r="C302">
        <v>1967</v>
      </c>
      <c r="D302">
        <f t="shared" ca="1" si="9"/>
        <v>58</v>
      </c>
      <c r="E302" s="5" t="s">
        <v>28</v>
      </c>
      <c r="F302" t="s">
        <v>137</v>
      </c>
      <c r="G302" t="str">
        <f t="shared" si="8"/>
        <v>500.000–1.000.000</v>
      </c>
      <c r="H302" t="s">
        <v>30</v>
      </c>
      <c r="I302">
        <v>1</v>
      </c>
      <c r="J302" t="s">
        <v>8</v>
      </c>
      <c r="K302" s="5" t="s">
        <v>114</v>
      </c>
      <c r="L302" s="5" t="s">
        <v>11</v>
      </c>
      <c r="M302" s="5" t="s">
        <v>57</v>
      </c>
      <c r="N302" s="5" t="s">
        <v>58</v>
      </c>
      <c r="O302" s="5" t="s">
        <v>42</v>
      </c>
      <c r="P302" s="5" t="s">
        <v>15</v>
      </c>
      <c r="Q302" s="5" t="s">
        <v>17</v>
      </c>
      <c r="R302" s="5" t="s">
        <v>43</v>
      </c>
      <c r="S302" s="5" t="s">
        <v>21</v>
      </c>
      <c r="T302" s="6" t="s">
        <v>84</v>
      </c>
      <c r="U302" s="6">
        <v>1</v>
      </c>
      <c r="V302" s="6" t="s">
        <v>76</v>
      </c>
      <c r="W302" s="6">
        <v>1</v>
      </c>
      <c r="X302" s="6" t="s">
        <v>44</v>
      </c>
      <c r="Y302">
        <v>0</v>
      </c>
      <c r="Z302" s="5" t="s">
        <v>46</v>
      </c>
      <c r="AA302" s="5" t="s">
        <v>44</v>
      </c>
      <c r="AB302" s="5" t="s">
        <v>46</v>
      </c>
    </row>
    <row r="303" spans="1:28" x14ac:dyDescent="0.35">
      <c r="A303" s="8" t="s">
        <v>1409</v>
      </c>
      <c r="B303" s="5" t="s">
        <v>379</v>
      </c>
      <c r="C303">
        <v>1956</v>
      </c>
      <c r="D303">
        <f t="shared" ca="1" si="9"/>
        <v>69</v>
      </c>
      <c r="E303" s="5" t="s">
        <v>6</v>
      </c>
      <c r="F303" t="s">
        <v>29</v>
      </c>
      <c r="G303" t="str">
        <f t="shared" si="8"/>
        <v>&lt;500.000</v>
      </c>
      <c r="H303" t="s">
        <v>30</v>
      </c>
      <c r="I303">
        <v>0</v>
      </c>
      <c r="J303" t="s">
        <v>8</v>
      </c>
      <c r="K303" s="5" t="s">
        <v>38</v>
      </c>
      <c r="L303" s="5" t="s">
        <v>11</v>
      </c>
      <c r="M303" s="5" t="s">
        <v>57</v>
      </c>
      <c r="N303" s="5" t="s">
        <v>58</v>
      </c>
      <c r="O303" s="5" t="s">
        <v>42</v>
      </c>
      <c r="P303" s="5" t="s">
        <v>15</v>
      </c>
      <c r="Q303" s="5" t="s">
        <v>17</v>
      </c>
      <c r="R303" s="5" t="s">
        <v>43</v>
      </c>
      <c r="S303" s="5" t="s">
        <v>21</v>
      </c>
      <c r="T303" s="6" t="s">
        <v>23</v>
      </c>
      <c r="U303" s="6">
        <v>1</v>
      </c>
      <c r="V303" s="6" t="s">
        <v>52</v>
      </c>
      <c r="W303" s="6">
        <v>1</v>
      </c>
      <c r="X303" s="6" t="s">
        <v>44</v>
      </c>
      <c r="Y303">
        <v>0</v>
      </c>
      <c r="Z303" s="5" t="s">
        <v>46</v>
      </c>
      <c r="AA303" s="5" t="s">
        <v>64</v>
      </c>
      <c r="AB303" s="5" t="s">
        <v>46</v>
      </c>
    </row>
    <row r="304" spans="1:28" x14ac:dyDescent="0.35">
      <c r="A304" s="8" t="s">
        <v>1410</v>
      </c>
      <c r="B304" s="5" t="s">
        <v>380</v>
      </c>
      <c r="C304">
        <v>1957</v>
      </c>
      <c r="D304">
        <f t="shared" ca="1" si="9"/>
        <v>68</v>
      </c>
      <c r="E304" s="5" t="s">
        <v>28</v>
      </c>
      <c r="F304" t="s">
        <v>29</v>
      </c>
      <c r="G304" t="str">
        <f t="shared" si="8"/>
        <v>&lt;500.000</v>
      </c>
      <c r="H304" t="s">
        <v>30</v>
      </c>
      <c r="I304">
        <v>0</v>
      </c>
      <c r="J304" t="s">
        <v>8</v>
      </c>
      <c r="K304" s="5" t="s">
        <v>38</v>
      </c>
      <c r="L304" s="5" t="s">
        <v>11</v>
      </c>
      <c r="M304" s="5" t="s">
        <v>57</v>
      </c>
      <c r="N304" s="5" t="s">
        <v>58</v>
      </c>
      <c r="O304" s="5" t="s">
        <v>42</v>
      </c>
      <c r="P304" s="5" t="s">
        <v>15</v>
      </c>
      <c r="Q304" s="5" t="s">
        <v>17</v>
      </c>
      <c r="R304" s="5" t="s">
        <v>43</v>
      </c>
      <c r="S304" s="5" t="s">
        <v>21</v>
      </c>
      <c r="T304" s="6" t="s">
        <v>23</v>
      </c>
      <c r="U304" s="6">
        <v>1</v>
      </c>
      <c r="V304" s="6" t="s">
        <v>52</v>
      </c>
      <c r="W304" s="6">
        <v>1</v>
      </c>
      <c r="X304" s="6" t="s">
        <v>44</v>
      </c>
      <c r="Y304">
        <v>0</v>
      </c>
      <c r="Z304" s="5" t="s">
        <v>46</v>
      </c>
      <c r="AA304" s="5" t="s">
        <v>64</v>
      </c>
      <c r="AB304" s="5" t="s">
        <v>35</v>
      </c>
    </row>
    <row r="305" spans="1:28" x14ac:dyDescent="0.35">
      <c r="A305" s="8" t="s">
        <v>1411</v>
      </c>
      <c r="B305" s="5" t="s">
        <v>381</v>
      </c>
      <c r="C305">
        <v>1976</v>
      </c>
      <c r="D305">
        <f t="shared" ca="1" si="9"/>
        <v>49</v>
      </c>
      <c r="E305" s="5" t="s">
        <v>6</v>
      </c>
      <c r="F305" t="s">
        <v>54</v>
      </c>
      <c r="G305" t="str">
        <f t="shared" si="8"/>
        <v>1.000.000–2.000.000</v>
      </c>
      <c r="H305" t="s">
        <v>139</v>
      </c>
      <c r="I305">
        <v>3</v>
      </c>
      <c r="J305" t="s">
        <v>8</v>
      </c>
      <c r="K305" s="5" t="s">
        <v>114</v>
      </c>
      <c r="L305" s="5" t="s">
        <v>11</v>
      </c>
      <c r="M305" s="5" t="s">
        <v>57</v>
      </c>
      <c r="N305" s="5" t="s">
        <v>58</v>
      </c>
      <c r="O305" s="5" t="s">
        <v>42</v>
      </c>
      <c r="P305" s="5" t="s">
        <v>15</v>
      </c>
      <c r="Q305" s="5" t="s">
        <v>17</v>
      </c>
      <c r="R305" s="5" t="s">
        <v>43</v>
      </c>
      <c r="S305" s="5" t="s">
        <v>21</v>
      </c>
      <c r="T305" s="6" t="s">
        <v>23</v>
      </c>
      <c r="U305" s="6">
        <v>1</v>
      </c>
      <c r="V305" s="6" t="s">
        <v>26</v>
      </c>
      <c r="W305" s="6">
        <v>1</v>
      </c>
      <c r="X305" s="6" t="s">
        <v>46</v>
      </c>
      <c r="Y305">
        <v>1</v>
      </c>
      <c r="Z305" s="5" t="s">
        <v>46</v>
      </c>
      <c r="AA305" s="5" t="s">
        <v>46</v>
      </c>
      <c r="AB305" s="5" t="s">
        <v>46</v>
      </c>
    </row>
    <row r="306" spans="1:28" x14ac:dyDescent="0.35">
      <c r="A306" s="8" t="s">
        <v>1412</v>
      </c>
      <c r="B306" s="5" t="s">
        <v>128</v>
      </c>
      <c r="C306">
        <v>1982</v>
      </c>
      <c r="D306">
        <f t="shared" ca="1" si="9"/>
        <v>43</v>
      </c>
      <c r="E306" s="5" t="s">
        <v>28</v>
      </c>
      <c r="F306" t="s">
        <v>29</v>
      </c>
      <c r="G306" t="str">
        <f t="shared" si="8"/>
        <v>500.000–1.000.000</v>
      </c>
      <c r="H306" t="s">
        <v>139</v>
      </c>
      <c r="I306">
        <v>3</v>
      </c>
      <c r="J306" t="s">
        <v>8</v>
      </c>
      <c r="K306" s="5" t="s">
        <v>114</v>
      </c>
      <c r="L306" s="5" t="s">
        <v>11</v>
      </c>
      <c r="M306" s="5" t="s">
        <v>57</v>
      </c>
      <c r="N306" s="5" t="s">
        <v>58</v>
      </c>
      <c r="O306" s="5" t="s">
        <v>42</v>
      </c>
      <c r="P306" s="5" t="s">
        <v>15</v>
      </c>
      <c r="Q306" s="5" t="s">
        <v>17</v>
      </c>
      <c r="R306" s="5" t="s">
        <v>43</v>
      </c>
      <c r="S306" s="5" t="s">
        <v>21</v>
      </c>
      <c r="T306" s="6" t="s">
        <v>23</v>
      </c>
      <c r="U306" s="6">
        <v>1</v>
      </c>
      <c r="V306" s="6" t="s">
        <v>26</v>
      </c>
      <c r="W306" s="6">
        <v>1</v>
      </c>
      <c r="X306" s="6" t="s">
        <v>46</v>
      </c>
      <c r="Y306">
        <v>1</v>
      </c>
      <c r="Z306" s="5" t="s">
        <v>46</v>
      </c>
      <c r="AA306" s="5" t="s">
        <v>46</v>
      </c>
      <c r="AB306" s="5" t="s">
        <v>46</v>
      </c>
    </row>
    <row r="307" spans="1:28" x14ac:dyDescent="0.35">
      <c r="A307" s="8" t="s">
        <v>1413</v>
      </c>
      <c r="B307" s="5" t="s">
        <v>382</v>
      </c>
      <c r="C307">
        <v>1966</v>
      </c>
      <c r="D307">
        <f t="shared" ca="1" si="9"/>
        <v>59</v>
      </c>
      <c r="E307" s="5" t="s">
        <v>6</v>
      </c>
      <c r="F307" t="s">
        <v>151</v>
      </c>
      <c r="G307" t="str">
        <f t="shared" si="8"/>
        <v>1.000.000–2.000.000</v>
      </c>
      <c r="H307" t="s">
        <v>139</v>
      </c>
      <c r="I307">
        <v>1</v>
      </c>
      <c r="J307" t="s">
        <v>8</v>
      </c>
      <c r="K307" s="5" t="s">
        <v>114</v>
      </c>
      <c r="L307" s="5" t="s">
        <v>11</v>
      </c>
      <c r="M307" s="5" t="s">
        <v>57</v>
      </c>
      <c r="N307" s="5" t="s">
        <v>58</v>
      </c>
      <c r="O307" s="5" t="s">
        <v>42</v>
      </c>
      <c r="P307" s="5" t="s">
        <v>15</v>
      </c>
      <c r="Q307" s="5" t="s">
        <v>17</v>
      </c>
      <c r="R307" s="5" t="s">
        <v>43</v>
      </c>
      <c r="S307" s="5" t="s">
        <v>21</v>
      </c>
      <c r="T307" s="6" t="s">
        <v>23</v>
      </c>
      <c r="U307" s="6">
        <v>1</v>
      </c>
      <c r="V307" s="6" t="s">
        <v>26</v>
      </c>
      <c r="W307" s="6">
        <v>1</v>
      </c>
      <c r="X307" s="6" t="s">
        <v>44</v>
      </c>
      <c r="Y307">
        <v>0</v>
      </c>
      <c r="Z307" s="5" t="s">
        <v>46</v>
      </c>
      <c r="AA307" s="5" t="s">
        <v>44</v>
      </c>
      <c r="AB307" s="5" t="s">
        <v>46</v>
      </c>
    </row>
    <row r="308" spans="1:28" x14ac:dyDescent="0.35">
      <c r="A308" s="8" t="s">
        <v>1414</v>
      </c>
      <c r="B308" s="5" t="s">
        <v>383</v>
      </c>
      <c r="C308">
        <v>1963</v>
      </c>
      <c r="D308">
        <f t="shared" ca="1" si="9"/>
        <v>62</v>
      </c>
      <c r="E308" s="5" t="s">
        <v>28</v>
      </c>
      <c r="F308" t="s">
        <v>119</v>
      </c>
      <c r="G308" t="str">
        <f t="shared" si="8"/>
        <v>&lt;500.000</v>
      </c>
      <c r="H308" t="s">
        <v>30</v>
      </c>
      <c r="I308">
        <v>1</v>
      </c>
      <c r="J308" t="s">
        <v>8</v>
      </c>
      <c r="K308" s="5" t="s">
        <v>114</v>
      </c>
      <c r="L308" s="5" t="s">
        <v>11</v>
      </c>
      <c r="M308" s="5" t="s">
        <v>57</v>
      </c>
      <c r="N308" s="5" t="s">
        <v>58</v>
      </c>
      <c r="O308" s="5" t="s">
        <v>42</v>
      </c>
      <c r="P308" s="5" t="s">
        <v>15</v>
      </c>
      <c r="Q308" s="5" t="s">
        <v>17</v>
      </c>
      <c r="R308" s="5" t="s">
        <v>43</v>
      </c>
      <c r="S308" s="5" t="s">
        <v>21</v>
      </c>
      <c r="T308" s="6" t="s">
        <v>23</v>
      </c>
      <c r="U308" s="6">
        <v>1</v>
      </c>
      <c r="V308" s="6" t="s">
        <v>26</v>
      </c>
      <c r="W308" s="6">
        <v>1</v>
      </c>
      <c r="X308" s="6" t="s">
        <v>44</v>
      </c>
      <c r="Y308">
        <v>0</v>
      </c>
      <c r="Z308" s="5" t="s">
        <v>46</v>
      </c>
      <c r="AA308" s="5" t="s">
        <v>44</v>
      </c>
      <c r="AB308" s="5" t="s">
        <v>74</v>
      </c>
    </row>
    <row r="309" spans="1:28" x14ac:dyDescent="0.35">
      <c r="A309" s="8" t="s">
        <v>1415</v>
      </c>
      <c r="B309" s="5" t="s">
        <v>384</v>
      </c>
      <c r="C309">
        <v>1990</v>
      </c>
      <c r="D309">
        <f t="shared" ca="1" si="9"/>
        <v>35</v>
      </c>
      <c r="E309" s="5" t="s">
        <v>6</v>
      </c>
      <c r="F309" t="s">
        <v>54</v>
      </c>
      <c r="G309" t="str">
        <f t="shared" si="8"/>
        <v>2.000.000–3.000.000</v>
      </c>
      <c r="H309" t="s">
        <v>385</v>
      </c>
      <c r="I309">
        <v>2</v>
      </c>
      <c r="J309" t="s">
        <v>8</v>
      </c>
      <c r="K309" s="5" t="s">
        <v>38</v>
      </c>
      <c r="L309" s="5" t="s">
        <v>11</v>
      </c>
      <c r="M309" s="5" t="s">
        <v>40</v>
      </c>
      <c r="N309" s="5" t="s">
        <v>37</v>
      </c>
      <c r="O309" s="5" t="s">
        <v>42</v>
      </c>
      <c r="P309" s="5" t="s">
        <v>15</v>
      </c>
      <c r="Q309" s="5" t="s">
        <v>17</v>
      </c>
      <c r="R309" s="5" t="s">
        <v>87</v>
      </c>
      <c r="S309" s="5" t="s">
        <v>21</v>
      </c>
      <c r="T309" s="6" t="s">
        <v>23</v>
      </c>
      <c r="U309" s="6">
        <v>1</v>
      </c>
      <c r="V309" s="6" t="s">
        <v>52</v>
      </c>
      <c r="W309" s="6">
        <v>1</v>
      </c>
      <c r="X309" s="6" t="s">
        <v>46</v>
      </c>
      <c r="Y309">
        <v>1</v>
      </c>
      <c r="Z309" s="5" t="s">
        <v>44</v>
      </c>
      <c r="AA309" s="5" t="s">
        <v>46</v>
      </c>
      <c r="AB309" s="5" t="s">
        <v>46</v>
      </c>
    </row>
    <row r="310" spans="1:28" x14ac:dyDescent="0.35">
      <c r="A310" s="8" t="s">
        <v>1416</v>
      </c>
      <c r="B310" s="5" t="s">
        <v>386</v>
      </c>
      <c r="C310">
        <v>1991</v>
      </c>
      <c r="D310">
        <f t="shared" ca="1" si="9"/>
        <v>34</v>
      </c>
      <c r="E310" s="5" t="s">
        <v>28</v>
      </c>
      <c r="F310" t="s">
        <v>29</v>
      </c>
      <c r="G310" t="str">
        <f t="shared" si="8"/>
        <v>500.000–1.000.000</v>
      </c>
      <c r="H310" t="s">
        <v>139</v>
      </c>
      <c r="I310">
        <v>2</v>
      </c>
      <c r="J310" t="s">
        <v>8</v>
      </c>
      <c r="K310" s="5" t="s">
        <v>38</v>
      </c>
      <c r="L310" s="5" t="s">
        <v>11</v>
      </c>
      <c r="M310" s="5" t="s">
        <v>40</v>
      </c>
      <c r="N310" s="5" t="s">
        <v>37</v>
      </c>
      <c r="O310" s="5" t="s">
        <v>42</v>
      </c>
      <c r="P310" s="5" t="s">
        <v>15</v>
      </c>
      <c r="Q310" s="5" t="s">
        <v>17</v>
      </c>
      <c r="R310" s="5" t="s">
        <v>87</v>
      </c>
      <c r="S310" s="5" t="s">
        <v>21</v>
      </c>
      <c r="T310" s="6" t="s">
        <v>23</v>
      </c>
      <c r="U310" s="6">
        <v>1</v>
      </c>
      <c r="V310" s="6" t="s">
        <v>52</v>
      </c>
      <c r="W310" s="6">
        <v>1</v>
      </c>
      <c r="X310" s="6" t="s">
        <v>46</v>
      </c>
      <c r="Y310">
        <v>1</v>
      </c>
      <c r="Z310" s="5" t="s">
        <v>44</v>
      </c>
      <c r="AA310" s="5" t="s">
        <v>46</v>
      </c>
      <c r="AB310" s="5" t="s">
        <v>46</v>
      </c>
    </row>
    <row r="311" spans="1:28" x14ac:dyDescent="0.35">
      <c r="A311" s="8" t="s">
        <v>1417</v>
      </c>
      <c r="B311" s="5" t="s">
        <v>387</v>
      </c>
      <c r="C311">
        <v>1989</v>
      </c>
      <c r="D311">
        <f t="shared" ca="1" si="9"/>
        <v>36</v>
      </c>
      <c r="E311" s="5" t="s">
        <v>6</v>
      </c>
      <c r="F311" t="s">
        <v>29</v>
      </c>
      <c r="G311" t="str">
        <f t="shared" si="8"/>
        <v>&lt;500.000</v>
      </c>
      <c r="H311" t="s">
        <v>63</v>
      </c>
      <c r="I311">
        <v>0</v>
      </c>
      <c r="J311" t="s">
        <v>8</v>
      </c>
      <c r="K311" s="5" t="s">
        <v>114</v>
      </c>
      <c r="L311" s="5" t="s">
        <v>11</v>
      </c>
      <c r="M311" s="5" t="s">
        <v>57</v>
      </c>
      <c r="N311" s="5" t="s">
        <v>58</v>
      </c>
      <c r="O311" s="5" t="s">
        <v>89</v>
      </c>
      <c r="P311" s="5" t="s">
        <v>15</v>
      </c>
      <c r="Q311" s="5" t="s">
        <v>17</v>
      </c>
      <c r="R311" s="5" t="s">
        <v>43</v>
      </c>
      <c r="S311" s="5" t="s">
        <v>21</v>
      </c>
      <c r="T311" s="6" t="s">
        <v>73</v>
      </c>
      <c r="U311" s="6">
        <v>0</v>
      </c>
      <c r="V311" s="6" t="s">
        <v>73</v>
      </c>
      <c r="W311" s="6">
        <v>0</v>
      </c>
      <c r="X311" s="6" t="s">
        <v>46</v>
      </c>
      <c r="Y311">
        <v>0</v>
      </c>
      <c r="Z311" s="5" t="s">
        <v>46</v>
      </c>
      <c r="AA311" s="5" t="s">
        <v>46</v>
      </c>
      <c r="AB311" s="5" t="s">
        <v>46</v>
      </c>
    </row>
    <row r="312" spans="1:28" x14ac:dyDescent="0.35">
      <c r="A312" s="8" t="s">
        <v>1418</v>
      </c>
      <c r="B312" s="5" t="s">
        <v>388</v>
      </c>
      <c r="C312">
        <v>1975</v>
      </c>
      <c r="D312">
        <f t="shared" ca="1" si="9"/>
        <v>50</v>
      </c>
      <c r="E312" s="5" t="s">
        <v>6</v>
      </c>
      <c r="F312" t="s">
        <v>162</v>
      </c>
      <c r="G312" t="str">
        <f t="shared" si="8"/>
        <v>1.000.000–2.000.000</v>
      </c>
      <c r="H312" t="s">
        <v>7</v>
      </c>
      <c r="I312">
        <v>3</v>
      </c>
      <c r="J312" t="s">
        <v>8</v>
      </c>
      <c r="K312" s="5" t="s">
        <v>38</v>
      </c>
      <c r="L312" s="5" t="s">
        <v>11</v>
      </c>
      <c r="M312" s="5" t="s">
        <v>57</v>
      </c>
      <c r="N312" s="5" t="s">
        <v>58</v>
      </c>
      <c r="O312" s="5" t="s">
        <v>42</v>
      </c>
      <c r="P312" s="5" t="s">
        <v>15</v>
      </c>
      <c r="Q312" s="5" t="s">
        <v>17</v>
      </c>
      <c r="R312" s="5" t="s">
        <v>43</v>
      </c>
      <c r="S312" s="5" t="s">
        <v>21</v>
      </c>
      <c r="T312" s="6" t="s">
        <v>23</v>
      </c>
      <c r="U312" s="6">
        <v>1</v>
      </c>
      <c r="V312" s="6" t="s">
        <v>26</v>
      </c>
      <c r="W312" s="6">
        <v>1</v>
      </c>
      <c r="X312" s="6" t="s">
        <v>46</v>
      </c>
      <c r="Y312">
        <v>1</v>
      </c>
      <c r="Z312" s="5" t="s">
        <v>46</v>
      </c>
      <c r="AA312" s="5" t="s">
        <v>46</v>
      </c>
      <c r="AB312" s="5" t="s">
        <v>46</v>
      </c>
    </row>
    <row r="313" spans="1:28" x14ac:dyDescent="0.35">
      <c r="A313" s="8" t="s">
        <v>1419</v>
      </c>
      <c r="B313" s="5" t="s">
        <v>389</v>
      </c>
      <c r="C313">
        <v>1979</v>
      </c>
      <c r="D313">
        <f t="shared" ca="1" si="9"/>
        <v>46</v>
      </c>
      <c r="E313" s="5" t="s">
        <v>28</v>
      </c>
      <c r="F313" t="s">
        <v>119</v>
      </c>
      <c r="G313" t="str">
        <f t="shared" si="8"/>
        <v>500.000–1.000.000</v>
      </c>
      <c r="H313" t="s">
        <v>7</v>
      </c>
      <c r="I313">
        <v>3</v>
      </c>
      <c r="J313" t="s">
        <v>8</v>
      </c>
      <c r="K313" s="5" t="s">
        <v>38</v>
      </c>
      <c r="L313" s="5" t="s">
        <v>11</v>
      </c>
      <c r="M313" s="5" t="s">
        <v>57</v>
      </c>
      <c r="N313" s="5" t="s">
        <v>58</v>
      </c>
      <c r="O313" s="5" t="s">
        <v>42</v>
      </c>
      <c r="P313" s="5" t="s">
        <v>15</v>
      </c>
      <c r="Q313" s="5" t="s">
        <v>17</v>
      </c>
      <c r="R313" s="5" t="s">
        <v>43</v>
      </c>
      <c r="S313" s="5" t="s">
        <v>21</v>
      </c>
      <c r="T313" s="6" t="s">
        <v>23</v>
      </c>
      <c r="U313" s="6">
        <v>1</v>
      </c>
      <c r="V313" s="6" t="s">
        <v>26</v>
      </c>
      <c r="W313" s="6">
        <v>1</v>
      </c>
      <c r="X313" s="6" t="s">
        <v>46</v>
      </c>
      <c r="Y313">
        <v>1</v>
      </c>
      <c r="Z313" s="5" t="s">
        <v>46</v>
      </c>
      <c r="AA313" s="5" t="s">
        <v>46</v>
      </c>
      <c r="AB313" s="5" t="s">
        <v>46</v>
      </c>
    </row>
    <row r="314" spans="1:28" x14ac:dyDescent="0.35">
      <c r="A314" s="8" t="s">
        <v>1420</v>
      </c>
      <c r="B314" s="5" t="s">
        <v>390</v>
      </c>
      <c r="C314">
        <v>1976</v>
      </c>
      <c r="D314">
        <f t="shared" ca="1" si="9"/>
        <v>49</v>
      </c>
      <c r="E314" s="5" t="s">
        <v>6</v>
      </c>
      <c r="F314" t="s">
        <v>54</v>
      </c>
      <c r="G314" t="str">
        <f t="shared" si="8"/>
        <v>500.000–1.000.000</v>
      </c>
      <c r="H314" t="s">
        <v>7</v>
      </c>
      <c r="I314">
        <v>1</v>
      </c>
      <c r="J314" t="s">
        <v>8</v>
      </c>
      <c r="K314" s="5" t="s">
        <v>114</v>
      </c>
      <c r="L314" s="5" t="s">
        <v>11</v>
      </c>
      <c r="M314" s="5" t="s">
        <v>57</v>
      </c>
      <c r="N314" s="5" t="s">
        <v>58</v>
      </c>
      <c r="O314" s="5" t="s">
        <v>42</v>
      </c>
      <c r="P314" s="5" t="s">
        <v>15</v>
      </c>
      <c r="Q314" s="5" t="s">
        <v>17</v>
      </c>
      <c r="R314" s="5" t="s">
        <v>43</v>
      </c>
      <c r="S314" s="5" t="s">
        <v>21</v>
      </c>
      <c r="T314" s="6" t="s">
        <v>23</v>
      </c>
      <c r="U314" s="6">
        <v>1</v>
      </c>
      <c r="V314" s="6" t="s">
        <v>26</v>
      </c>
      <c r="W314" s="6">
        <v>1</v>
      </c>
      <c r="X314" s="6" t="s">
        <v>46</v>
      </c>
      <c r="Y314">
        <v>1</v>
      </c>
      <c r="Z314" s="5" t="s">
        <v>46</v>
      </c>
      <c r="AA314" s="5" t="s">
        <v>46</v>
      </c>
      <c r="AB314" s="5" t="s">
        <v>46</v>
      </c>
    </row>
    <row r="315" spans="1:28" x14ac:dyDescent="0.35">
      <c r="A315" s="8" t="s">
        <v>1421</v>
      </c>
      <c r="B315" s="5" t="s">
        <v>391</v>
      </c>
      <c r="C315">
        <v>1971</v>
      </c>
      <c r="D315">
        <f t="shared" ca="1" si="9"/>
        <v>54</v>
      </c>
      <c r="E315" s="5" t="s">
        <v>28</v>
      </c>
      <c r="F315" t="s">
        <v>29</v>
      </c>
      <c r="G315" t="str">
        <f t="shared" si="8"/>
        <v>500.000–1.000.000</v>
      </c>
      <c r="H315" t="s">
        <v>7</v>
      </c>
      <c r="I315">
        <v>1</v>
      </c>
      <c r="J315" t="s">
        <v>8</v>
      </c>
      <c r="K315" s="5" t="s">
        <v>114</v>
      </c>
      <c r="L315" s="5" t="s">
        <v>11</v>
      </c>
      <c r="M315" s="5" t="s">
        <v>57</v>
      </c>
      <c r="N315" s="5" t="s">
        <v>58</v>
      </c>
      <c r="O315" s="5" t="s">
        <v>42</v>
      </c>
      <c r="P315" s="5" t="s">
        <v>15</v>
      </c>
      <c r="Q315" s="5" t="s">
        <v>17</v>
      </c>
      <c r="R315" s="5" t="s">
        <v>43</v>
      </c>
      <c r="S315" s="5" t="s">
        <v>21</v>
      </c>
      <c r="T315" s="6" t="s">
        <v>23</v>
      </c>
      <c r="U315" s="6">
        <v>1</v>
      </c>
      <c r="V315" s="6" t="s">
        <v>26</v>
      </c>
      <c r="W315" s="6">
        <v>1</v>
      </c>
      <c r="X315" s="6" t="s">
        <v>46</v>
      </c>
      <c r="Y315">
        <v>1</v>
      </c>
      <c r="Z315" s="5" t="s">
        <v>46</v>
      </c>
      <c r="AA315" s="5" t="s">
        <v>46</v>
      </c>
      <c r="AB315" s="5" t="s">
        <v>46</v>
      </c>
    </row>
    <row r="316" spans="1:28" x14ac:dyDescent="0.35">
      <c r="A316" s="8" t="s">
        <v>1422</v>
      </c>
      <c r="B316" s="5" t="s">
        <v>392</v>
      </c>
      <c r="C316">
        <v>1966</v>
      </c>
      <c r="D316">
        <f t="shared" ca="1" si="9"/>
        <v>59</v>
      </c>
      <c r="E316" s="5" t="s">
        <v>6</v>
      </c>
      <c r="F316" t="s">
        <v>151</v>
      </c>
      <c r="G316" t="str">
        <f t="shared" si="8"/>
        <v>500.000–1.000.000</v>
      </c>
      <c r="H316" t="s">
        <v>30</v>
      </c>
      <c r="I316">
        <v>0</v>
      </c>
      <c r="J316" t="s">
        <v>8</v>
      </c>
      <c r="K316" s="5" t="s">
        <v>38</v>
      </c>
      <c r="L316" s="5" t="s">
        <v>39</v>
      </c>
      <c r="M316" s="5" t="s">
        <v>40</v>
      </c>
      <c r="N316" s="5" t="s">
        <v>37</v>
      </c>
      <c r="O316" s="5" t="s">
        <v>42</v>
      </c>
      <c r="P316" s="5" t="s">
        <v>15</v>
      </c>
      <c r="Q316" s="5" t="s">
        <v>17</v>
      </c>
      <c r="R316" s="5" t="s">
        <v>43</v>
      </c>
      <c r="S316" s="5" t="s">
        <v>21</v>
      </c>
      <c r="T316" s="6" t="s">
        <v>23</v>
      </c>
      <c r="U316" s="6">
        <v>1</v>
      </c>
      <c r="V316" s="6" t="s">
        <v>117</v>
      </c>
      <c r="W316" s="6">
        <v>1</v>
      </c>
      <c r="X316" s="6" t="s">
        <v>46</v>
      </c>
      <c r="Y316">
        <v>0</v>
      </c>
      <c r="Z316" s="5" t="s">
        <v>46</v>
      </c>
      <c r="AA316" s="5" t="s">
        <v>46</v>
      </c>
      <c r="AB316" s="5" t="s">
        <v>46</v>
      </c>
    </row>
    <row r="317" spans="1:28" x14ac:dyDescent="0.35">
      <c r="A317" s="8" t="s">
        <v>1423</v>
      </c>
      <c r="B317" s="5" t="s">
        <v>393</v>
      </c>
      <c r="C317">
        <v>1967</v>
      </c>
      <c r="D317">
        <f t="shared" ca="1" si="9"/>
        <v>58</v>
      </c>
      <c r="E317" s="5" t="s">
        <v>28</v>
      </c>
      <c r="F317" t="s">
        <v>29</v>
      </c>
      <c r="G317" t="str">
        <f t="shared" si="8"/>
        <v>&lt;500.000</v>
      </c>
      <c r="H317" t="s">
        <v>30</v>
      </c>
      <c r="I317">
        <v>0</v>
      </c>
      <c r="J317" t="s">
        <v>8</v>
      </c>
      <c r="K317" s="5" t="s">
        <v>38</v>
      </c>
      <c r="L317" s="5" t="s">
        <v>39</v>
      </c>
      <c r="M317" s="5" t="s">
        <v>40</v>
      </c>
      <c r="N317" s="5" t="s">
        <v>37</v>
      </c>
      <c r="O317" s="5" t="s">
        <v>42</v>
      </c>
      <c r="P317" s="5" t="s">
        <v>15</v>
      </c>
      <c r="Q317" s="5" t="s">
        <v>17</v>
      </c>
      <c r="R317" s="5" t="s">
        <v>43</v>
      </c>
      <c r="S317" s="5" t="s">
        <v>21</v>
      </c>
      <c r="T317" s="6" t="s">
        <v>23</v>
      </c>
      <c r="U317" s="6">
        <v>1</v>
      </c>
      <c r="V317" s="6" t="s">
        <v>117</v>
      </c>
      <c r="W317" s="6">
        <v>1</v>
      </c>
      <c r="X317" s="6" t="s">
        <v>46</v>
      </c>
      <c r="Y317">
        <v>0</v>
      </c>
      <c r="Z317" s="5" t="s">
        <v>46</v>
      </c>
      <c r="AA317" s="5" t="s">
        <v>46</v>
      </c>
      <c r="AB317" s="5" t="s">
        <v>46</v>
      </c>
    </row>
    <row r="318" spans="1:28" x14ac:dyDescent="0.35">
      <c r="A318" s="8" t="s">
        <v>1424</v>
      </c>
      <c r="B318" s="5" t="s">
        <v>394</v>
      </c>
      <c r="C318">
        <v>1987</v>
      </c>
      <c r="D318">
        <f t="shared" ca="1" si="9"/>
        <v>38</v>
      </c>
      <c r="E318" s="5" t="s">
        <v>6</v>
      </c>
      <c r="F318" t="s">
        <v>29</v>
      </c>
      <c r="G318" t="str">
        <f t="shared" si="8"/>
        <v>&lt;500.000</v>
      </c>
      <c r="H318" t="s">
        <v>63</v>
      </c>
      <c r="I318">
        <v>0</v>
      </c>
      <c r="J318" t="s">
        <v>8</v>
      </c>
      <c r="K318" s="5" t="s">
        <v>114</v>
      </c>
      <c r="L318" s="5" t="s">
        <v>11</v>
      </c>
      <c r="M318" s="5" t="s">
        <v>57</v>
      </c>
      <c r="N318" s="5" t="s">
        <v>58</v>
      </c>
      <c r="O318" s="5" t="s">
        <v>89</v>
      </c>
      <c r="P318" s="5" t="s">
        <v>15</v>
      </c>
      <c r="Q318" s="5" t="s">
        <v>17</v>
      </c>
      <c r="R318" s="5" t="s">
        <v>43</v>
      </c>
      <c r="S318" s="5" t="s">
        <v>21</v>
      </c>
      <c r="T318" s="6" t="s">
        <v>73</v>
      </c>
      <c r="U318" s="6">
        <v>0</v>
      </c>
      <c r="V318" s="6" t="s">
        <v>73</v>
      </c>
      <c r="W318" s="6">
        <v>0</v>
      </c>
      <c r="X318" s="6" t="s">
        <v>46</v>
      </c>
      <c r="Y318">
        <v>0</v>
      </c>
      <c r="Z318" s="5" t="s">
        <v>46</v>
      </c>
      <c r="AA318" s="5" t="s">
        <v>46</v>
      </c>
      <c r="AB318" s="5" t="s">
        <v>46</v>
      </c>
    </row>
    <row r="319" spans="1:28" x14ac:dyDescent="0.35">
      <c r="A319" s="8" t="s">
        <v>1425</v>
      </c>
      <c r="B319" s="5" t="s">
        <v>395</v>
      </c>
      <c r="C319">
        <v>1985</v>
      </c>
      <c r="D319">
        <f t="shared" ca="1" si="9"/>
        <v>40</v>
      </c>
      <c r="E319" s="5" t="s">
        <v>6</v>
      </c>
      <c r="F319" t="s">
        <v>29</v>
      </c>
      <c r="G319" t="str">
        <f t="shared" si="8"/>
        <v>&lt;500.000</v>
      </c>
      <c r="H319" t="s">
        <v>63</v>
      </c>
      <c r="I319">
        <v>0</v>
      </c>
      <c r="J319" t="s">
        <v>8</v>
      </c>
      <c r="K319" s="5" t="s">
        <v>114</v>
      </c>
      <c r="L319" s="5" t="s">
        <v>11</v>
      </c>
      <c r="M319" s="5" t="s">
        <v>57</v>
      </c>
      <c r="N319" s="5" t="s">
        <v>58</v>
      </c>
      <c r="O319" s="5" t="s">
        <v>89</v>
      </c>
      <c r="P319" s="5" t="s">
        <v>15</v>
      </c>
      <c r="Q319" s="5" t="s">
        <v>17</v>
      </c>
      <c r="R319" s="5" t="s">
        <v>43</v>
      </c>
      <c r="S319" s="5" t="s">
        <v>21</v>
      </c>
      <c r="T319" s="6" t="s">
        <v>73</v>
      </c>
      <c r="U319" s="6">
        <v>0</v>
      </c>
      <c r="V319" s="6" t="s">
        <v>73</v>
      </c>
      <c r="W319" s="6">
        <v>0</v>
      </c>
      <c r="X319" s="6" t="s">
        <v>46</v>
      </c>
      <c r="Y319">
        <v>0</v>
      </c>
      <c r="Z319" s="5" t="s">
        <v>46</v>
      </c>
      <c r="AA319" s="5" t="s">
        <v>46</v>
      </c>
      <c r="AB319" s="5" t="s">
        <v>46</v>
      </c>
    </row>
    <row r="320" spans="1:28" x14ac:dyDescent="0.35">
      <c r="A320" s="8" t="s">
        <v>1426</v>
      </c>
      <c r="B320" s="5" t="s">
        <v>396</v>
      </c>
      <c r="C320">
        <v>1989</v>
      </c>
      <c r="D320">
        <f t="shared" ca="1" si="9"/>
        <v>36</v>
      </c>
      <c r="E320" s="5" t="s">
        <v>28</v>
      </c>
      <c r="F320" t="s">
        <v>29</v>
      </c>
      <c r="G320" t="str">
        <f t="shared" si="8"/>
        <v>&lt;500.000</v>
      </c>
      <c r="H320" t="s">
        <v>63</v>
      </c>
      <c r="I320">
        <v>0</v>
      </c>
      <c r="J320" t="s">
        <v>8</v>
      </c>
      <c r="K320" s="5" t="s">
        <v>114</v>
      </c>
      <c r="L320" s="5" t="s">
        <v>11</v>
      </c>
      <c r="M320" s="5" t="s">
        <v>57</v>
      </c>
      <c r="N320" s="5" t="s">
        <v>58</v>
      </c>
      <c r="O320" s="5" t="s">
        <v>89</v>
      </c>
      <c r="P320" s="5" t="s">
        <v>15</v>
      </c>
      <c r="Q320" s="5" t="s">
        <v>17</v>
      </c>
      <c r="R320" s="5" t="s">
        <v>43</v>
      </c>
      <c r="S320" s="5" t="s">
        <v>21</v>
      </c>
      <c r="T320" s="6" t="s">
        <v>73</v>
      </c>
      <c r="U320" s="6">
        <v>0</v>
      </c>
      <c r="V320" s="6" t="s">
        <v>73</v>
      </c>
      <c r="W320" s="6">
        <v>0</v>
      </c>
      <c r="X320" s="6" t="s">
        <v>46</v>
      </c>
      <c r="Y320">
        <v>0</v>
      </c>
      <c r="Z320" s="5" t="s">
        <v>46</v>
      </c>
      <c r="AA320" s="5" t="s">
        <v>46</v>
      </c>
      <c r="AB320" s="5" t="s">
        <v>46</v>
      </c>
    </row>
    <row r="321" spans="1:28" x14ac:dyDescent="0.35">
      <c r="A321" s="8" t="s">
        <v>1427</v>
      </c>
      <c r="B321" s="5" t="s">
        <v>397</v>
      </c>
      <c r="C321">
        <v>1952</v>
      </c>
      <c r="D321">
        <f t="shared" ca="1" si="9"/>
        <v>73</v>
      </c>
      <c r="E321" s="5" t="s">
        <v>6</v>
      </c>
      <c r="F321" t="s">
        <v>29</v>
      </c>
      <c r="G321" t="str">
        <f t="shared" ref="G321:G384" si="10">IF(OR(
    F321="Tidak bekerja",
    F321="Pekerja keluarga/Tidak dibayar"),
    IF(OR(H321="Tidak Sekolah", H321="SD"), "&lt;500.000", "500.000–1.000.000"),
IF(OR(
    F321="Pekerja Bebas Pertanian",
    F321="Pekerja Bebas non-Pertanian"),
    IF(OR(H321="Tidak Sekolah", H321="SD", H321="SMP"), "500.000–1.000.000", "1.000.000–2.000.000"),
IF(F321="Buruh/Karyawan/Pegawai Swasta",
    IF(OR(H321="SD", H321="SMP"), "500.000–1.000.000",
       IF(OR(H321="SMA/SMK", H321="D1/2/3"), "1.000.000–2.000.000", "2.000.000–3.000.000")
    ),
IF(F321="Berusaha Sendiri",
    IF(OR(H321="SD", H321="SMP"), "500.000–1.000.000", "1.000.000–2.000.000"),
IF(F321="Berusaha dibantu buruh tidak tetap/Tidak dibayar", "1.000.000–2.000.000",
IF(F321="Berusaha dibantu buruh tetap/Dibayar", "2.000.000–3.000.000",
IF(F321="PNS/TNI/Polri/BUMN/BUMD/Anggota Legislatif", "2.000.000–3.000.000",
""
)))))))</f>
        <v>&lt;500.000</v>
      </c>
      <c r="H321" t="s">
        <v>63</v>
      </c>
      <c r="I321">
        <v>0</v>
      </c>
      <c r="J321" t="s">
        <v>8</v>
      </c>
      <c r="K321" s="5" t="s">
        <v>114</v>
      </c>
      <c r="L321" s="5" t="s">
        <v>11</v>
      </c>
      <c r="M321" s="5" t="s">
        <v>57</v>
      </c>
      <c r="N321" s="5" t="s">
        <v>58</v>
      </c>
      <c r="O321" s="5" t="s">
        <v>42</v>
      </c>
      <c r="P321" s="5" t="s">
        <v>15</v>
      </c>
      <c r="Q321" s="5" t="s">
        <v>17</v>
      </c>
      <c r="R321" s="5" t="s">
        <v>43</v>
      </c>
      <c r="S321" s="5" t="s">
        <v>21</v>
      </c>
      <c r="T321" s="6" t="s">
        <v>73</v>
      </c>
      <c r="U321" s="6">
        <v>0</v>
      </c>
      <c r="V321" s="6" t="s">
        <v>73</v>
      </c>
      <c r="W321" s="6">
        <v>0</v>
      </c>
      <c r="X321" s="6" t="s">
        <v>46</v>
      </c>
      <c r="Y321">
        <v>0</v>
      </c>
      <c r="Z321" s="5" t="s">
        <v>46</v>
      </c>
      <c r="AA321" s="5" t="s">
        <v>44</v>
      </c>
      <c r="AB321" s="5" t="s">
        <v>35</v>
      </c>
    </row>
    <row r="322" spans="1:28" x14ac:dyDescent="0.35">
      <c r="A322" s="8" t="s">
        <v>1428</v>
      </c>
      <c r="B322" s="5" t="s">
        <v>398</v>
      </c>
      <c r="C322">
        <v>1983</v>
      </c>
      <c r="D322">
        <f t="shared" ca="1" si="9"/>
        <v>42</v>
      </c>
      <c r="E322" s="5" t="s">
        <v>6</v>
      </c>
      <c r="F322" t="s">
        <v>54</v>
      </c>
      <c r="G322" t="str">
        <f t="shared" si="10"/>
        <v>1.000.000–2.000.000</v>
      </c>
      <c r="H322" t="s">
        <v>139</v>
      </c>
      <c r="I322">
        <v>3</v>
      </c>
      <c r="J322" t="s">
        <v>72</v>
      </c>
      <c r="K322" s="5" t="s">
        <v>38</v>
      </c>
      <c r="L322" s="5" t="s">
        <v>11</v>
      </c>
      <c r="M322" s="5" t="s">
        <v>57</v>
      </c>
      <c r="N322" s="5" t="s">
        <v>58</v>
      </c>
      <c r="O322" s="5" t="s">
        <v>42</v>
      </c>
      <c r="P322" s="5" t="s">
        <v>15</v>
      </c>
      <c r="Q322" s="5" t="s">
        <v>17</v>
      </c>
      <c r="R322" s="5" t="s">
        <v>43</v>
      </c>
      <c r="S322" s="5" t="s">
        <v>21</v>
      </c>
      <c r="T322" s="6" t="s">
        <v>23</v>
      </c>
      <c r="U322" s="6">
        <v>1</v>
      </c>
      <c r="V322" s="6" t="s">
        <v>26</v>
      </c>
      <c r="W322" s="6">
        <v>1</v>
      </c>
      <c r="X322" s="6" t="s">
        <v>46</v>
      </c>
      <c r="Y322">
        <v>1</v>
      </c>
      <c r="Z322" s="5" t="s">
        <v>44</v>
      </c>
      <c r="AA322" s="5" t="s">
        <v>46</v>
      </c>
      <c r="AB322" s="5" t="s">
        <v>46</v>
      </c>
    </row>
    <row r="323" spans="1:28" x14ac:dyDescent="0.35">
      <c r="A323" s="8" t="s">
        <v>1429</v>
      </c>
      <c r="B323" s="5" t="s">
        <v>399</v>
      </c>
      <c r="C323">
        <v>1986</v>
      </c>
      <c r="D323">
        <f t="shared" ca="1" si="9"/>
        <v>39</v>
      </c>
      <c r="E323" s="5" t="s">
        <v>28</v>
      </c>
      <c r="F323" t="s">
        <v>187</v>
      </c>
      <c r="G323" t="str">
        <f t="shared" si="10"/>
        <v>2.000.000–3.000.000</v>
      </c>
      <c r="H323" t="s">
        <v>7</v>
      </c>
      <c r="I323">
        <v>3</v>
      </c>
      <c r="J323" t="s">
        <v>72</v>
      </c>
      <c r="K323" s="5" t="s">
        <v>38</v>
      </c>
      <c r="L323" s="5" t="s">
        <v>11</v>
      </c>
      <c r="M323" s="5" t="s">
        <v>57</v>
      </c>
      <c r="N323" s="5" t="s">
        <v>58</v>
      </c>
      <c r="O323" s="5" t="s">
        <v>42</v>
      </c>
      <c r="P323" s="5" t="s">
        <v>15</v>
      </c>
      <c r="Q323" s="5" t="s">
        <v>17</v>
      </c>
      <c r="R323" s="5" t="s">
        <v>43</v>
      </c>
      <c r="S323" s="5" t="s">
        <v>21</v>
      </c>
      <c r="T323" s="6" t="s">
        <v>23</v>
      </c>
      <c r="U323" s="6">
        <v>1</v>
      </c>
      <c r="V323" s="6" t="s">
        <v>26</v>
      </c>
      <c r="W323" s="6">
        <v>1</v>
      </c>
      <c r="X323" s="6" t="s">
        <v>46</v>
      </c>
      <c r="Y323">
        <v>1</v>
      </c>
      <c r="Z323" s="5" t="s">
        <v>44</v>
      </c>
      <c r="AA323" s="5" t="s">
        <v>46</v>
      </c>
      <c r="AB323" s="5" t="s">
        <v>46</v>
      </c>
    </row>
    <row r="324" spans="1:28" x14ac:dyDescent="0.35">
      <c r="A324" s="8" t="s">
        <v>1430</v>
      </c>
      <c r="B324" s="5" t="s">
        <v>400</v>
      </c>
      <c r="C324">
        <v>1958</v>
      </c>
      <c r="D324">
        <f t="shared" ca="1" si="9"/>
        <v>67</v>
      </c>
      <c r="E324" s="5" t="s">
        <v>6</v>
      </c>
      <c r="F324" t="s">
        <v>137</v>
      </c>
      <c r="G324" t="str">
        <f t="shared" si="10"/>
        <v>500.000–1.000.000</v>
      </c>
      <c r="H324" t="s">
        <v>7</v>
      </c>
      <c r="I324">
        <v>0</v>
      </c>
      <c r="J324" t="s">
        <v>8</v>
      </c>
      <c r="K324" s="5" t="s">
        <v>10</v>
      </c>
      <c r="L324" s="5" t="s">
        <v>11</v>
      </c>
      <c r="M324" s="5" t="s">
        <v>40</v>
      </c>
      <c r="N324" s="5" t="s">
        <v>37</v>
      </c>
      <c r="O324" s="5" t="s">
        <v>42</v>
      </c>
      <c r="P324" s="5" t="s">
        <v>15</v>
      </c>
      <c r="Q324" s="5" t="s">
        <v>17</v>
      </c>
      <c r="R324" s="5" t="s">
        <v>43</v>
      </c>
      <c r="S324" s="5" t="s">
        <v>21</v>
      </c>
      <c r="T324" s="6" t="s">
        <v>23</v>
      </c>
      <c r="U324" s="6">
        <v>1</v>
      </c>
      <c r="V324" s="6" t="s">
        <v>401</v>
      </c>
      <c r="W324" s="6">
        <v>1</v>
      </c>
      <c r="X324" s="6" t="s">
        <v>44</v>
      </c>
      <c r="Y324">
        <v>0</v>
      </c>
      <c r="Z324" s="5" t="s">
        <v>46</v>
      </c>
      <c r="AA324" s="5" t="s">
        <v>44</v>
      </c>
      <c r="AB324" s="5" t="s">
        <v>35</v>
      </c>
    </row>
    <row r="325" spans="1:28" x14ac:dyDescent="0.35">
      <c r="A325" s="8" t="s">
        <v>1431</v>
      </c>
      <c r="B325" s="5" t="s">
        <v>402</v>
      </c>
      <c r="C325">
        <v>1974</v>
      </c>
      <c r="D325">
        <f t="shared" ca="1" si="9"/>
        <v>51</v>
      </c>
      <c r="E325" s="5" t="s">
        <v>6</v>
      </c>
      <c r="F325" t="s">
        <v>162</v>
      </c>
      <c r="G325" t="str">
        <f t="shared" si="10"/>
        <v>1.000.000–2.000.000</v>
      </c>
      <c r="H325" t="s">
        <v>7</v>
      </c>
      <c r="I325">
        <v>2</v>
      </c>
      <c r="J325" t="s">
        <v>8</v>
      </c>
      <c r="K325" s="5" t="s">
        <v>114</v>
      </c>
      <c r="L325" s="5" t="s">
        <v>11</v>
      </c>
      <c r="M325" s="5" t="s">
        <v>57</v>
      </c>
      <c r="N325" s="5" t="s">
        <v>58</v>
      </c>
      <c r="O325" s="5" t="s">
        <v>42</v>
      </c>
      <c r="P325" s="5" t="s">
        <v>15</v>
      </c>
      <c r="Q325" s="5" t="s">
        <v>17</v>
      </c>
      <c r="R325" s="5" t="s">
        <v>43</v>
      </c>
      <c r="S325" s="5" t="s">
        <v>21</v>
      </c>
      <c r="T325" s="6" t="s">
        <v>23</v>
      </c>
      <c r="U325" s="6">
        <v>1</v>
      </c>
      <c r="V325" s="6" t="s">
        <v>26</v>
      </c>
      <c r="W325" s="6">
        <v>1</v>
      </c>
      <c r="X325" s="6" t="s">
        <v>46</v>
      </c>
      <c r="Y325">
        <v>1</v>
      </c>
      <c r="Z325" s="5" t="s">
        <v>46</v>
      </c>
      <c r="AA325" s="5" t="s">
        <v>46</v>
      </c>
      <c r="AB325" s="5" t="s">
        <v>46</v>
      </c>
    </row>
    <row r="326" spans="1:28" x14ac:dyDescent="0.35">
      <c r="A326" s="8" t="s">
        <v>1432</v>
      </c>
      <c r="B326" s="5" t="s">
        <v>403</v>
      </c>
      <c r="C326">
        <v>1976</v>
      </c>
      <c r="D326">
        <f t="shared" ca="1" si="9"/>
        <v>49</v>
      </c>
      <c r="E326" s="5" t="s">
        <v>28</v>
      </c>
      <c r="F326" t="s">
        <v>119</v>
      </c>
      <c r="G326" t="str">
        <f t="shared" si="10"/>
        <v>500.000–1.000.000</v>
      </c>
      <c r="H326" t="s">
        <v>7</v>
      </c>
      <c r="I326">
        <v>2</v>
      </c>
      <c r="J326" t="s">
        <v>8</v>
      </c>
      <c r="K326" s="5" t="s">
        <v>114</v>
      </c>
      <c r="L326" s="5" t="s">
        <v>11</v>
      </c>
      <c r="M326" s="5" t="s">
        <v>57</v>
      </c>
      <c r="N326" s="5" t="s">
        <v>58</v>
      </c>
      <c r="O326" s="5" t="s">
        <v>42</v>
      </c>
      <c r="P326" s="5" t="s">
        <v>15</v>
      </c>
      <c r="Q326" s="5" t="s">
        <v>17</v>
      </c>
      <c r="R326" s="5" t="s">
        <v>43</v>
      </c>
      <c r="S326" s="5" t="s">
        <v>21</v>
      </c>
      <c r="T326" s="6" t="s">
        <v>23</v>
      </c>
      <c r="U326" s="6">
        <v>1</v>
      </c>
      <c r="V326" s="6" t="s">
        <v>26</v>
      </c>
      <c r="W326" s="6">
        <v>1</v>
      </c>
      <c r="X326" s="6" t="s">
        <v>46</v>
      </c>
      <c r="Y326">
        <v>1</v>
      </c>
      <c r="Z326" s="5" t="s">
        <v>46</v>
      </c>
      <c r="AA326" s="5" t="s">
        <v>46</v>
      </c>
      <c r="AB326" s="5" t="s">
        <v>46</v>
      </c>
    </row>
    <row r="327" spans="1:28" x14ac:dyDescent="0.35">
      <c r="A327" s="8" t="s">
        <v>1433</v>
      </c>
      <c r="B327" s="5" t="s">
        <v>320</v>
      </c>
      <c r="C327">
        <v>1939</v>
      </c>
      <c r="D327">
        <f t="shared" ca="1" si="9"/>
        <v>86</v>
      </c>
      <c r="E327" s="5" t="s">
        <v>6</v>
      </c>
      <c r="F327" t="s">
        <v>29</v>
      </c>
      <c r="G327" t="str">
        <f t="shared" si="10"/>
        <v>&lt;500.000</v>
      </c>
      <c r="H327" t="s">
        <v>63</v>
      </c>
      <c r="I327">
        <v>0</v>
      </c>
      <c r="J327" t="s">
        <v>48</v>
      </c>
      <c r="K327" s="5" t="s">
        <v>38</v>
      </c>
      <c r="L327" s="5" t="s">
        <v>11</v>
      </c>
      <c r="M327" s="5" t="s">
        <v>57</v>
      </c>
      <c r="N327" s="5" t="s">
        <v>58</v>
      </c>
      <c r="O327" s="5" t="s">
        <v>89</v>
      </c>
      <c r="P327" s="5" t="s">
        <v>15</v>
      </c>
      <c r="Q327" s="5" t="s">
        <v>17</v>
      </c>
      <c r="R327" s="5" t="s">
        <v>43</v>
      </c>
      <c r="S327" s="5" t="s">
        <v>21</v>
      </c>
      <c r="T327" s="6" t="s">
        <v>73</v>
      </c>
      <c r="U327" s="6">
        <v>0</v>
      </c>
      <c r="V327" s="6" t="s">
        <v>73</v>
      </c>
      <c r="W327" s="6">
        <v>0</v>
      </c>
      <c r="X327" s="6" t="s">
        <v>46</v>
      </c>
      <c r="Y327">
        <v>0</v>
      </c>
      <c r="Z327" s="5" t="s">
        <v>46</v>
      </c>
      <c r="AA327" s="5" t="s">
        <v>44</v>
      </c>
      <c r="AB327" s="5" t="s">
        <v>46</v>
      </c>
    </row>
    <row r="328" spans="1:28" x14ac:dyDescent="0.35">
      <c r="A328" s="8" t="s">
        <v>1434</v>
      </c>
      <c r="B328" s="5" t="s">
        <v>404</v>
      </c>
      <c r="C328">
        <v>1979</v>
      </c>
      <c r="D328">
        <f t="shared" ca="1" si="9"/>
        <v>46</v>
      </c>
      <c r="E328" s="5" t="s">
        <v>6</v>
      </c>
      <c r="F328" t="s">
        <v>151</v>
      </c>
      <c r="G328" t="str">
        <f t="shared" si="10"/>
        <v>500.000–1.000.000</v>
      </c>
      <c r="H328" t="s">
        <v>7</v>
      </c>
      <c r="I328">
        <v>4</v>
      </c>
      <c r="J328" t="s">
        <v>8</v>
      </c>
      <c r="K328" s="5" t="s">
        <v>38</v>
      </c>
      <c r="L328" s="5" t="s">
        <v>11</v>
      </c>
      <c r="M328" s="5" t="s">
        <v>57</v>
      </c>
      <c r="N328" s="5" t="s">
        <v>58</v>
      </c>
      <c r="O328" s="5" t="s">
        <v>42</v>
      </c>
      <c r="P328" s="5" t="s">
        <v>15</v>
      </c>
      <c r="Q328" s="5" t="s">
        <v>17</v>
      </c>
      <c r="R328" s="5" t="s">
        <v>43</v>
      </c>
      <c r="S328" s="5" t="s">
        <v>21</v>
      </c>
      <c r="T328" s="6" t="s">
        <v>23</v>
      </c>
      <c r="U328" s="6">
        <v>1</v>
      </c>
      <c r="V328" s="6" t="s">
        <v>26</v>
      </c>
      <c r="W328" s="6">
        <v>1</v>
      </c>
      <c r="X328" s="6" t="s">
        <v>44</v>
      </c>
      <c r="Y328">
        <v>3</v>
      </c>
      <c r="Z328" s="5" t="s">
        <v>46</v>
      </c>
      <c r="AA328" s="5" t="s">
        <v>46</v>
      </c>
      <c r="AB328" s="5" t="s">
        <v>46</v>
      </c>
    </row>
    <row r="329" spans="1:28" x14ac:dyDescent="0.35">
      <c r="A329" s="8" t="s">
        <v>1435</v>
      </c>
      <c r="B329" s="5" t="s">
        <v>405</v>
      </c>
      <c r="C329">
        <v>1978</v>
      </c>
      <c r="D329">
        <f t="shared" ca="1" si="9"/>
        <v>47</v>
      </c>
      <c r="E329" s="5" t="s">
        <v>28</v>
      </c>
      <c r="F329" t="s">
        <v>29</v>
      </c>
      <c r="G329" t="str">
        <f t="shared" si="10"/>
        <v>&lt;500.000</v>
      </c>
      <c r="H329" t="s">
        <v>63</v>
      </c>
      <c r="I329">
        <v>4</v>
      </c>
      <c r="J329" t="s">
        <v>8</v>
      </c>
      <c r="K329" s="5" t="s">
        <v>38</v>
      </c>
      <c r="L329" s="5" t="s">
        <v>11</v>
      </c>
      <c r="M329" s="5" t="s">
        <v>57</v>
      </c>
      <c r="N329" s="5" t="s">
        <v>58</v>
      </c>
      <c r="O329" s="5" t="s">
        <v>42</v>
      </c>
      <c r="P329" s="5" t="s">
        <v>15</v>
      </c>
      <c r="Q329" s="5" t="s">
        <v>17</v>
      </c>
      <c r="R329" s="5" t="s">
        <v>43</v>
      </c>
      <c r="S329" s="5" t="s">
        <v>21</v>
      </c>
      <c r="T329" s="6" t="s">
        <v>23</v>
      </c>
      <c r="U329" s="6">
        <v>1</v>
      </c>
      <c r="V329" s="6" t="s">
        <v>26</v>
      </c>
      <c r="W329" s="6">
        <v>1</v>
      </c>
      <c r="X329" s="6" t="s">
        <v>44</v>
      </c>
      <c r="Y329">
        <v>3</v>
      </c>
      <c r="Z329" s="5" t="s">
        <v>46</v>
      </c>
      <c r="AA329" s="5" t="s">
        <v>46</v>
      </c>
      <c r="AB329" s="5" t="s">
        <v>46</v>
      </c>
    </row>
    <row r="330" spans="1:28" x14ac:dyDescent="0.35">
      <c r="A330" s="8" t="s">
        <v>1436</v>
      </c>
      <c r="B330" s="5" t="s">
        <v>406</v>
      </c>
      <c r="C330">
        <v>1967</v>
      </c>
      <c r="D330">
        <f t="shared" ca="1" si="9"/>
        <v>58</v>
      </c>
      <c r="E330" s="5" t="s">
        <v>6</v>
      </c>
      <c r="F330" t="s">
        <v>54</v>
      </c>
      <c r="G330" t="str">
        <f t="shared" si="10"/>
        <v>500.000–1.000.000</v>
      </c>
      <c r="H330" t="s">
        <v>30</v>
      </c>
      <c r="I330">
        <v>1</v>
      </c>
      <c r="J330" t="s">
        <v>8</v>
      </c>
      <c r="K330" s="5" t="s">
        <v>407</v>
      </c>
      <c r="L330" s="5" t="s">
        <v>49</v>
      </c>
      <c r="M330" s="5" t="s">
        <v>57</v>
      </c>
      <c r="N330" s="5" t="s">
        <v>58</v>
      </c>
      <c r="O330" s="5" t="s">
        <v>42</v>
      </c>
      <c r="P330" s="5" t="s">
        <v>15</v>
      </c>
      <c r="Q330" s="5" t="s">
        <v>17</v>
      </c>
      <c r="R330" s="5" t="s">
        <v>43</v>
      </c>
      <c r="S330" s="5" t="s">
        <v>21</v>
      </c>
      <c r="T330" s="6" t="s">
        <v>23</v>
      </c>
      <c r="U330" s="6">
        <v>1</v>
      </c>
      <c r="V330" s="6" t="s">
        <v>73</v>
      </c>
      <c r="W330" s="6">
        <v>0</v>
      </c>
      <c r="X330" s="6" t="s">
        <v>46</v>
      </c>
      <c r="Y330">
        <v>0</v>
      </c>
      <c r="Z330" s="5" t="s">
        <v>46</v>
      </c>
      <c r="AA330" s="5" t="s">
        <v>46</v>
      </c>
      <c r="AB330" s="5" t="s">
        <v>46</v>
      </c>
    </row>
    <row r="331" spans="1:28" x14ac:dyDescent="0.35">
      <c r="A331" s="8" t="s">
        <v>1437</v>
      </c>
      <c r="B331" s="5" t="s">
        <v>408</v>
      </c>
      <c r="C331">
        <v>1988</v>
      </c>
      <c r="D331">
        <f t="shared" ca="1" si="9"/>
        <v>37</v>
      </c>
      <c r="E331" s="5" t="s">
        <v>6</v>
      </c>
      <c r="F331" t="s">
        <v>54</v>
      </c>
      <c r="G331" t="str">
        <f t="shared" si="10"/>
        <v>500.000–1.000.000</v>
      </c>
      <c r="H331" t="s">
        <v>30</v>
      </c>
      <c r="I331">
        <v>3</v>
      </c>
      <c r="J331" t="s">
        <v>48</v>
      </c>
      <c r="K331" s="5" t="s">
        <v>114</v>
      </c>
      <c r="L331" s="5" t="s">
        <v>11</v>
      </c>
      <c r="M331" s="5" t="s">
        <v>57</v>
      </c>
      <c r="N331" s="5" t="s">
        <v>58</v>
      </c>
      <c r="O331" s="5" t="s">
        <v>42</v>
      </c>
      <c r="P331" s="5" t="s">
        <v>15</v>
      </c>
      <c r="Q331" s="5" t="s">
        <v>17</v>
      </c>
      <c r="R331" s="5" t="s">
        <v>43</v>
      </c>
      <c r="S331" s="5" t="s">
        <v>21</v>
      </c>
      <c r="T331" s="6" t="s">
        <v>84</v>
      </c>
      <c r="U331" s="6">
        <v>1</v>
      </c>
      <c r="V331" s="6" t="s">
        <v>26</v>
      </c>
      <c r="W331" s="6">
        <v>1</v>
      </c>
      <c r="X331" s="6" t="s">
        <v>46</v>
      </c>
      <c r="Y331">
        <v>3</v>
      </c>
      <c r="Z331" s="5" t="s">
        <v>46</v>
      </c>
      <c r="AA331" s="5" t="s">
        <v>46</v>
      </c>
      <c r="AB331" s="5" t="s">
        <v>46</v>
      </c>
    </row>
    <row r="332" spans="1:28" x14ac:dyDescent="0.35">
      <c r="A332" s="8" t="s">
        <v>1438</v>
      </c>
      <c r="B332" s="5" t="s">
        <v>409</v>
      </c>
      <c r="C332">
        <v>1988</v>
      </c>
      <c r="D332">
        <f t="shared" ca="1" si="9"/>
        <v>37</v>
      </c>
      <c r="E332" s="5" t="s">
        <v>28</v>
      </c>
      <c r="F332" t="s">
        <v>29</v>
      </c>
      <c r="G332" t="str">
        <f t="shared" si="10"/>
        <v>500.000–1.000.000</v>
      </c>
      <c r="H332" t="s">
        <v>7</v>
      </c>
      <c r="I332">
        <v>3</v>
      </c>
      <c r="J332" t="s">
        <v>48</v>
      </c>
      <c r="K332" s="5" t="s">
        <v>114</v>
      </c>
      <c r="L332" s="5" t="s">
        <v>11</v>
      </c>
      <c r="M332" s="5" t="s">
        <v>57</v>
      </c>
      <c r="N332" s="5" t="s">
        <v>58</v>
      </c>
      <c r="O332" s="5" t="s">
        <v>42</v>
      </c>
      <c r="P332" s="5" t="s">
        <v>15</v>
      </c>
      <c r="Q332" s="5" t="s">
        <v>17</v>
      </c>
      <c r="R332" s="5" t="s">
        <v>43</v>
      </c>
      <c r="S332" s="5" t="s">
        <v>21</v>
      </c>
      <c r="T332" s="6" t="s">
        <v>84</v>
      </c>
      <c r="U332" s="6">
        <v>1</v>
      </c>
      <c r="V332" s="6" t="s">
        <v>26</v>
      </c>
      <c r="W332" s="6">
        <v>1</v>
      </c>
      <c r="X332" s="6" t="s">
        <v>46</v>
      </c>
      <c r="Y332">
        <v>3</v>
      </c>
      <c r="Z332" s="5" t="s">
        <v>46</v>
      </c>
      <c r="AA332" s="5" t="s">
        <v>46</v>
      </c>
      <c r="AB332" s="5" t="s">
        <v>46</v>
      </c>
    </row>
    <row r="333" spans="1:28" x14ac:dyDescent="0.35">
      <c r="A333" s="8" t="s">
        <v>1439</v>
      </c>
      <c r="B333" s="5" t="s">
        <v>410</v>
      </c>
      <c r="C333">
        <v>1977</v>
      </c>
      <c r="D333">
        <f t="shared" ca="1" si="9"/>
        <v>48</v>
      </c>
      <c r="E333" s="5" t="s">
        <v>6</v>
      </c>
      <c r="F333" t="s">
        <v>137</v>
      </c>
      <c r="G333" t="str">
        <f t="shared" si="10"/>
        <v>500.000–1.000.000</v>
      </c>
      <c r="H333" t="s">
        <v>7</v>
      </c>
      <c r="I333">
        <v>2</v>
      </c>
      <c r="J333" t="s">
        <v>8</v>
      </c>
      <c r="K333" s="5" t="s">
        <v>114</v>
      </c>
      <c r="L333" s="5" t="s">
        <v>11</v>
      </c>
      <c r="M333" s="5" t="s">
        <v>57</v>
      </c>
      <c r="N333" s="5" t="s">
        <v>58</v>
      </c>
      <c r="O333" s="5" t="s">
        <v>42</v>
      </c>
      <c r="P333" s="5" t="s">
        <v>15</v>
      </c>
      <c r="Q333" s="5" t="s">
        <v>17</v>
      </c>
      <c r="R333" s="5" t="s">
        <v>43</v>
      </c>
      <c r="S333" s="5" t="s">
        <v>21</v>
      </c>
      <c r="T333" s="6" t="s">
        <v>23</v>
      </c>
      <c r="U333" s="6">
        <v>1</v>
      </c>
      <c r="V333" s="6" t="s">
        <v>26</v>
      </c>
      <c r="W333" s="6">
        <v>1</v>
      </c>
      <c r="X333" s="6" t="s">
        <v>46</v>
      </c>
      <c r="Y333">
        <v>2</v>
      </c>
      <c r="Z333" s="5" t="s">
        <v>46</v>
      </c>
      <c r="AA333" s="5" t="s">
        <v>46</v>
      </c>
      <c r="AB333" s="5" t="s">
        <v>74</v>
      </c>
    </row>
    <row r="334" spans="1:28" x14ac:dyDescent="0.35">
      <c r="A334" s="8" t="s">
        <v>1440</v>
      </c>
      <c r="B334" s="5" t="s">
        <v>411</v>
      </c>
      <c r="C334">
        <v>1984</v>
      </c>
      <c r="D334">
        <f t="shared" ca="1" si="9"/>
        <v>41</v>
      </c>
      <c r="E334" s="5" t="s">
        <v>28</v>
      </c>
      <c r="F334" t="s">
        <v>29</v>
      </c>
      <c r="G334" t="str">
        <f t="shared" si="10"/>
        <v>500.000–1.000.000</v>
      </c>
      <c r="H334" t="s">
        <v>139</v>
      </c>
      <c r="I334">
        <v>2</v>
      </c>
      <c r="J334" t="s">
        <v>8</v>
      </c>
      <c r="K334" s="5" t="s">
        <v>114</v>
      </c>
      <c r="L334" s="5" t="s">
        <v>11</v>
      </c>
      <c r="M334" s="5" t="s">
        <v>57</v>
      </c>
      <c r="N334" s="5" t="s">
        <v>58</v>
      </c>
      <c r="O334" s="5" t="s">
        <v>42</v>
      </c>
      <c r="P334" s="5" t="s">
        <v>15</v>
      </c>
      <c r="Q334" s="5" t="s">
        <v>17</v>
      </c>
      <c r="R334" s="5" t="s">
        <v>43</v>
      </c>
      <c r="S334" s="5" t="s">
        <v>21</v>
      </c>
      <c r="T334" s="6" t="s">
        <v>23</v>
      </c>
      <c r="U334" s="6">
        <v>1</v>
      </c>
      <c r="V334" s="6" t="s">
        <v>26</v>
      </c>
      <c r="W334" s="6">
        <v>1</v>
      </c>
      <c r="X334" s="6" t="s">
        <v>46</v>
      </c>
      <c r="Y334">
        <v>2</v>
      </c>
      <c r="Z334" s="5" t="s">
        <v>46</v>
      </c>
      <c r="AA334" s="5" t="s">
        <v>46</v>
      </c>
      <c r="AB334" s="5" t="s">
        <v>46</v>
      </c>
    </row>
    <row r="335" spans="1:28" x14ac:dyDescent="0.35">
      <c r="A335" s="8" t="s">
        <v>1441</v>
      </c>
      <c r="B335" s="5" t="s">
        <v>412</v>
      </c>
      <c r="C335">
        <v>1999</v>
      </c>
      <c r="D335">
        <f t="shared" ca="1" si="9"/>
        <v>26</v>
      </c>
      <c r="E335" s="5" t="s">
        <v>6</v>
      </c>
      <c r="F335" t="s">
        <v>54</v>
      </c>
      <c r="G335" t="str">
        <f t="shared" si="10"/>
        <v>1.000.000–2.000.000</v>
      </c>
      <c r="H335" t="s">
        <v>139</v>
      </c>
      <c r="I335">
        <v>1</v>
      </c>
      <c r="J335" t="s">
        <v>8</v>
      </c>
      <c r="K335" s="5" t="s">
        <v>114</v>
      </c>
      <c r="L335" s="5" t="s">
        <v>11</v>
      </c>
      <c r="M335" s="5" t="s">
        <v>57</v>
      </c>
      <c r="N335" s="5" t="s">
        <v>58</v>
      </c>
      <c r="O335" s="5" t="s">
        <v>42</v>
      </c>
      <c r="P335" s="5" t="s">
        <v>15</v>
      </c>
      <c r="Q335" s="5" t="s">
        <v>17</v>
      </c>
      <c r="R335" s="5" t="s">
        <v>43</v>
      </c>
      <c r="S335" s="5" t="s">
        <v>21</v>
      </c>
      <c r="T335" s="6" t="s">
        <v>23</v>
      </c>
      <c r="U335" s="6">
        <v>1</v>
      </c>
      <c r="V335" s="6" t="s">
        <v>76</v>
      </c>
      <c r="W335" s="6">
        <v>1</v>
      </c>
      <c r="X335" s="6" t="s">
        <v>46</v>
      </c>
      <c r="Y335">
        <v>0</v>
      </c>
      <c r="Z335" s="5" t="s">
        <v>44</v>
      </c>
      <c r="AA335" s="5" t="s">
        <v>46</v>
      </c>
      <c r="AB335" s="5" t="s">
        <v>46</v>
      </c>
    </row>
    <row r="336" spans="1:28" x14ac:dyDescent="0.35">
      <c r="A336" s="8" t="s">
        <v>1442</v>
      </c>
      <c r="B336" s="5" t="s">
        <v>413</v>
      </c>
      <c r="C336">
        <v>1999</v>
      </c>
      <c r="D336">
        <f t="shared" ca="1" si="9"/>
        <v>26</v>
      </c>
      <c r="E336" s="5" t="s">
        <v>28</v>
      </c>
      <c r="F336" t="s">
        <v>29</v>
      </c>
      <c r="G336" t="str">
        <f t="shared" si="10"/>
        <v>&lt;500.000</v>
      </c>
      <c r="H336" t="s">
        <v>63</v>
      </c>
      <c r="I336">
        <v>1</v>
      </c>
      <c r="J336" t="s">
        <v>8</v>
      </c>
      <c r="K336" s="5" t="s">
        <v>114</v>
      </c>
      <c r="L336" s="5" t="s">
        <v>11</v>
      </c>
      <c r="M336" s="5" t="s">
        <v>57</v>
      </c>
      <c r="N336" s="5" t="s">
        <v>58</v>
      </c>
      <c r="O336" s="5" t="s">
        <v>42</v>
      </c>
      <c r="P336" s="5" t="s">
        <v>15</v>
      </c>
      <c r="Q336" s="5" t="s">
        <v>17</v>
      </c>
      <c r="R336" s="5" t="s">
        <v>43</v>
      </c>
      <c r="S336" s="5" t="s">
        <v>21</v>
      </c>
      <c r="T336" s="6" t="s">
        <v>23</v>
      </c>
      <c r="U336" s="6">
        <v>1</v>
      </c>
      <c r="V336" s="6" t="s">
        <v>76</v>
      </c>
      <c r="W336" s="6">
        <v>1</v>
      </c>
      <c r="X336" s="6" t="s">
        <v>46</v>
      </c>
      <c r="Y336">
        <v>0</v>
      </c>
      <c r="Z336" s="5" t="s">
        <v>44</v>
      </c>
      <c r="AA336" s="5" t="s">
        <v>46</v>
      </c>
      <c r="AB336" s="5" t="s">
        <v>46</v>
      </c>
    </row>
    <row r="337" spans="1:28" x14ac:dyDescent="0.35">
      <c r="A337" s="8" t="s">
        <v>1443</v>
      </c>
      <c r="B337" s="5" t="s">
        <v>414</v>
      </c>
      <c r="C337">
        <v>1989</v>
      </c>
      <c r="D337">
        <f t="shared" ca="1" si="9"/>
        <v>36</v>
      </c>
      <c r="E337" s="5" t="s">
        <v>6</v>
      </c>
      <c r="F337" t="s">
        <v>54</v>
      </c>
      <c r="G337" t="str">
        <f t="shared" si="10"/>
        <v>500.000–1.000.000</v>
      </c>
      <c r="H337" t="s">
        <v>7</v>
      </c>
      <c r="I337">
        <v>0</v>
      </c>
      <c r="J337" t="s">
        <v>48</v>
      </c>
      <c r="K337" s="5" t="s">
        <v>38</v>
      </c>
      <c r="L337" s="5" t="s">
        <v>39</v>
      </c>
      <c r="M337" s="5" t="s">
        <v>14</v>
      </c>
      <c r="N337" s="5" t="s">
        <v>37</v>
      </c>
      <c r="O337" s="5" t="s">
        <v>42</v>
      </c>
      <c r="P337" s="5" t="s">
        <v>133</v>
      </c>
      <c r="Q337" s="5" t="s">
        <v>17</v>
      </c>
      <c r="R337" s="5" t="s">
        <v>43</v>
      </c>
      <c r="S337" s="5" t="s">
        <v>21</v>
      </c>
      <c r="T337" s="6" t="s">
        <v>73</v>
      </c>
      <c r="U337" s="6">
        <v>0</v>
      </c>
      <c r="V337" s="6" t="s">
        <v>76</v>
      </c>
      <c r="W337" s="6">
        <v>1</v>
      </c>
      <c r="X337" s="6" t="s">
        <v>46</v>
      </c>
      <c r="Y337">
        <v>0</v>
      </c>
      <c r="Z337" s="5" t="s">
        <v>46</v>
      </c>
      <c r="AA337" s="5" t="s">
        <v>46</v>
      </c>
      <c r="AB337" s="5" t="s">
        <v>46</v>
      </c>
    </row>
    <row r="338" spans="1:28" x14ac:dyDescent="0.35">
      <c r="A338" s="8" t="s">
        <v>1444</v>
      </c>
      <c r="B338" s="5" t="s">
        <v>415</v>
      </c>
      <c r="C338">
        <v>2002</v>
      </c>
      <c r="D338">
        <f t="shared" ca="1" si="9"/>
        <v>23</v>
      </c>
      <c r="E338" s="5" t="s">
        <v>28</v>
      </c>
      <c r="F338" t="s">
        <v>29</v>
      </c>
      <c r="G338" t="str">
        <f t="shared" si="10"/>
        <v>500.000–1.000.000</v>
      </c>
      <c r="H338" t="s">
        <v>139</v>
      </c>
      <c r="I338">
        <v>0</v>
      </c>
      <c r="J338" t="s">
        <v>48</v>
      </c>
      <c r="K338" s="5" t="s">
        <v>38</v>
      </c>
      <c r="L338" s="5" t="s">
        <v>39</v>
      </c>
      <c r="M338" s="5" t="s">
        <v>14</v>
      </c>
      <c r="N338" s="5" t="s">
        <v>37</v>
      </c>
      <c r="O338" s="5" t="s">
        <v>42</v>
      </c>
      <c r="P338" s="5" t="s">
        <v>133</v>
      </c>
      <c r="Q338" s="5" t="s">
        <v>17</v>
      </c>
      <c r="R338" s="5" t="s">
        <v>43</v>
      </c>
      <c r="S338" s="5" t="s">
        <v>21</v>
      </c>
      <c r="T338" s="6" t="s">
        <v>73</v>
      </c>
      <c r="U338" s="6">
        <v>0</v>
      </c>
      <c r="V338" s="6" t="s">
        <v>76</v>
      </c>
      <c r="W338" s="6">
        <v>1</v>
      </c>
      <c r="X338" s="6" t="s">
        <v>46</v>
      </c>
      <c r="Y338">
        <v>0</v>
      </c>
      <c r="Z338" s="5" t="s">
        <v>46</v>
      </c>
      <c r="AA338" s="5" t="s">
        <v>46</v>
      </c>
      <c r="AB338" s="5" t="s">
        <v>46</v>
      </c>
    </row>
    <row r="339" spans="1:28" x14ac:dyDescent="0.35">
      <c r="A339" s="8" t="s">
        <v>1445</v>
      </c>
      <c r="B339" s="5" t="s">
        <v>416</v>
      </c>
      <c r="C339">
        <v>1993</v>
      </c>
      <c r="D339">
        <f t="shared" ca="1" si="9"/>
        <v>32</v>
      </c>
      <c r="E339" s="5" t="s">
        <v>6</v>
      </c>
      <c r="F339" t="s">
        <v>55</v>
      </c>
      <c r="G339" t="str">
        <f t="shared" si="10"/>
        <v>1.000.000–2.000.000</v>
      </c>
      <c r="H339" t="s">
        <v>139</v>
      </c>
      <c r="I339">
        <v>1</v>
      </c>
      <c r="J339" t="s">
        <v>8</v>
      </c>
      <c r="K339" s="5" t="s">
        <v>10</v>
      </c>
      <c r="L339" s="5" t="s">
        <v>11</v>
      </c>
      <c r="M339" s="5" t="s">
        <v>14</v>
      </c>
      <c r="N339" s="5" t="s">
        <v>37</v>
      </c>
      <c r="O339" s="5" t="s">
        <v>42</v>
      </c>
      <c r="P339" s="5" t="s">
        <v>15</v>
      </c>
      <c r="Q339" s="5" t="s">
        <v>17</v>
      </c>
      <c r="R339" s="5" t="s">
        <v>19</v>
      </c>
      <c r="S339" s="5" t="s">
        <v>21</v>
      </c>
      <c r="T339" s="6" t="s">
        <v>23</v>
      </c>
      <c r="U339" s="6">
        <v>1</v>
      </c>
      <c r="V339" s="6" t="s">
        <v>76</v>
      </c>
      <c r="W339" s="6">
        <v>1</v>
      </c>
      <c r="X339" s="6" t="s">
        <v>46</v>
      </c>
      <c r="Y339">
        <v>0</v>
      </c>
      <c r="Z339" s="5" t="s">
        <v>44</v>
      </c>
      <c r="AA339" s="5" t="s">
        <v>46</v>
      </c>
      <c r="AB339" s="5" t="s">
        <v>46</v>
      </c>
    </row>
    <row r="340" spans="1:28" x14ac:dyDescent="0.35">
      <c r="A340" s="8" t="s">
        <v>1446</v>
      </c>
      <c r="B340" s="5" t="s">
        <v>417</v>
      </c>
      <c r="C340">
        <v>2000</v>
      </c>
      <c r="D340">
        <f t="shared" ca="1" si="9"/>
        <v>25</v>
      </c>
      <c r="E340" s="5" t="s">
        <v>28</v>
      </c>
      <c r="F340" t="s">
        <v>54</v>
      </c>
      <c r="G340" t="str">
        <f t="shared" si="10"/>
        <v>1.000.000–2.000.000</v>
      </c>
      <c r="H340" t="s">
        <v>139</v>
      </c>
      <c r="I340">
        <v>1</v>
      </c>
      <c r="J340" t="s">
        <v>8</v>
      </c>
      <c r="K340" s="5" t="s">
        <v>10</v>
      </c>
      <c r="L340" s="5" t="s">
        <v>11</v>
      </c>
      <c r="M340" s="5" t="s">
        <v>14</v>
      </c>
      <c r="N340" s="5" t="s">
        <v>37</v>
      </c>
      <c r="O340" s="5" t="s">
        <v>42</v>
      </c>
      <c r="P340" s="5" t="s">
        <v>15</v>
      </c>
      <c r="Q340" s="5" t="s">
        <v>17</v>
      </c>
      <c r="R340" s="5" t="s">
        <v>19</v>
      </c>
      <c r="S340" s="5" t="s">
        <v>21</v>
      </c>
      <c r="T340" s="6" t="s">
        <v>23</v>
      </c>
      <c r="U340" s="6">
        <v>1</v>
      </c>
      <c r="V340" s="6" t="s">
        <v>76</v>
      </c>
      <c r="W340" s="6">
        <v>1</v>
      </c>
      <c r="X340" s="6" t="s">
        <v>46</v>
      </c>
      <c r="Y340">
        <v>0</v>
      </c>
      <c r="Z340" s="5" t="s">
        <v>44</v>
      </c>
      <c r="AA340" s="5" t="s">
        <v>46</v>
      </c>
      <c r="AB340" s="5" t="s">
        <v>46</v>
      </c>
    </row>
    <row r="341" spans="1:28" x14ac:dyDescent="0.35">
      <c r="A341" s="8" t="s">
        <v>1447</v>
      </c>
      <c r="B341" s="5" t="s">
        <v>418</v>
      </c>
      <c r="C341">
        <v>1982</v>
      </c>
      <c r="D341">
        <f t="shared" ca="1" si="9"/>
        <v>43</v>
      </c>
      <c r="E341" s="5" t="s">
        <v>6</v>
      </c>
      <c r="F341" t="s">
        <v>54</v>
      </c>
      <c r="G341" t="str">
        <f t="shared" si="10"/>
        <v>1.000.000–2.000.000</v>
      </c>
      <c r="H341" t="s">
        <v>139</v>
      </c>
      <c r="I341">
        <v>5</v>
      </c>
      <c r="J341" t="s">
        <v>8</v>
      </c>
      <c r="K341" s="5" t="s">
        <v>114</v>
      </c>
      <c r="L341" s="5" t="s">
        <v>11</v>
      </c>
      <c r="M341" s="5" t="s">
        <v>57</v>
      </c>
      <c r="N341" s="5" t="s">
        <v>58</v>
      </c>
      <c r="O341" s="5" t="s">
        <v>42</v>
      </c>
      <c r="P341" s="5" t="s">
        <v>15</v>
      </c>
      <c r="Q341" s="5" t="s">
        <v>17</v>
      </c>
      <c r="R341" s="5" t="s">
        <v>43</v>
      </c>
      <c r="S341" s="5" t="s">
        <v>21</v>
      </c>
      <c r="T341" s="6" t="s">
        <v>84</v>
      </c>
      <c r="U341" s="6">
        <v>1</v>
      </c>
      <c r="V341" s="6" t="s">
        <v>26</v>
      </c>
      <c r="W341" s="6">
        <v>1</v>
      </c>
      <c r="X341" s="6" t="s">
        <v>46</v>
      </c>
      <c r="Y341">
        <v>4</v>
      </c>
      <c r="Z341" s="5" t="s">
        <v>46</v>
      </c>
      <c r="AA341" s="5" t="s">
        <v>46</v>
      </c>
      <c r="AB341" s="5" t="s">
        <v>46</v>
      </c>
    </row>
    <row r="342" spans="1:28" x14ac:dyDescent="0.35">
      <c r="A342" s="8" t="s">
        <v>1448</v>
      </c>
      <c r="B342" s="5" t="s">
        <v>419</v>
      </c>
      <c r="C342">
        <v>1983</v>
      </c>
      <c r="D342">
        <f t="shared" ca="1" si="9"/>
        <v>42</v>
      </c>
      <c r="E342" s="5" t="s">
        <v>28</v>
      </c>
      <c r="F342" t="s">
        <v>29</v>
      </c>
      <c r="G342" t="str">
        <f t="shared" si="10"/>
        <v>500.000–1.000.000</v>
      </c>
      <c r="H342" t="s">
        <v>7</v>
      </c>
      <c r="I342">
        <v>5</v>
      </c>
      <c r="J342" t="s">
        <v>8</v>
      </c>
      <c r="K342" s="5" t="s">
        <v>114</v>
      </c>
      <c r="L342" s="5" t="s">
        <v>11</v>
      </c>
      <c r="M342" s="5" t="s">
        <v>57</v>
      </c>
      <c r="N342" s="5" t="s">
        <v>58</v>
      </c>
      <c r="O342" s="5" t="s">
        <v>42</v>
      </c>
      <c r="P342" s="5" t="s">
        <v>15</v>
      </c>
      <c r="Q342" s="5" t="s">
        <v>17</v>
      </c>
      <c r="R342" s="5" t="s">
        <v>43</v>
      </c>
      <c r="S342" s="5" t="s">
        <v>21</v>
      </c>
      <c r="T342" s="6" t="s">
        <v>84</v>
      </c>
      <c r="U342" s="6">
        <v>1</v>
      </c>
      <c r="V342" s="6" t="s">
        <v>26</v>
      </c>
      <c r="W342" s="6">
        <v>1</v>
      </c>
      <c r="X342" s="6" t="s">
        <v>46</v>
      </c>
      <c r="Y342">
        <v>4</v>
      </c>
      <c r="Z342" s="5" t="s">
        <v>46</v>
      </c>
      <c r="AA342" s="5" t="s">
        <v>46</v>
      </c>
      <c r="AB342" s="5" t="s">
        <v>46</v>
      </c>
    </row>
    <row r="343" spans="1:28" x14ac:dyDescent="0.35">
      <c r="A343" s="8" t="s">
        <v>1449</v>
      </c>
      <c r="B343" s="5" t="s">
        <v>420</v>
      </c>
      <c r="C343">
        <v>1957</v>
      </c>
      <c r="D343">
        <f t="shared" ca="1" si="9"/>
        <v>68</v>
      </c>
      <c r="E343" s="5" t="s">
        <v>6</v>
      </c>
      <c r="F343" t="s">
        <v>151</v>
      </c>
      <c r="G343" t="str">
        <f t="shared" si="10"/>
        <v>500.000–1.000.000</v>
      </c>
      <c r="H343" t="s">
        <v>7</v>
      </c>
      <c r="I343">
        <v>0</v>
      </c>
      <c r="J343" t="s">
        <v>8</v>
      </c>
      <c r="K343" s="5" t="s">
        <v>38</v>
      </c>
      <c r="L343" s="5" t="s">
        <v>49</v>
      </c>
      <c r="M343" s="5" t="s">
        <v>57</v>
      </c>
      <c r="N343" s="5" t="s">
        <v>58</v>
      </c>
      <c r="O343" s="5" t="s">
        <v>42</v>
      </c>
      <c r="P343" s="5" t="s">
        <v>15</v>
      </c>
      <c r="Q343" s="5" t="s">
        <v>17</v>
      </c>
      <c r="R343" s="5" t="s">
        <v>43</v>
      </c>
      <c r="S343" s="5" t="s">
        <v>21</v>
      </c>
      <c r="T343" s="6" t="s">
        <v>23</v>
      </c>
      <c r="U343" s="6">
        <v>1</v>
      </c>
      <c r="V343" s="6" t="s">
        <v>117</v>
      </c>
      <c r="W343" s="6">
        <v>1</v>
      </c>
      <c r="X343" s="6" t="s">
        <v>46</v>
      </c>
      <c r="Y343">
        <v>0</v>
      </c>
      <c r="Z343" s="5" t="s">
        <v>46</v>
      </c>
      <c r="AA343" s="5" t="s">
        <v>44</v>
      </c>
      <c r="AB343" s="5" t="s">
        <v>46</v>
      </c>
    </row>
    <row r="344" spans="1:28" x14ac:dyDescent="0.35">
      <c r="A344" s="8" t="s">
        <v>1450</v>
      </c>
      <c r="B344" s="5" t="s">
        <v>50</v>
      </c>
      <c r="C344">
        <v>1966</v>
      </c>
      <c r="D344">
        <f t="shared" ca="1" si="9"/>
        <v>59</v>
      </c>
      <c r="E344" s="5" t="s">
        <v>28</v>
      </c>
      <c r="F344" t="s">
        <v>29</v>
      </c>
      <c r="G344" t="str">
        <f t="shared" si="10"/>
        <v>&lt;500.000</v>
      </c>
      <c r="H344" t="s">
        <v>30</v>
      </c>
      <c r="I344">
        <v>0</v>
      </c>
      <c r="J344" t="s">
        <v>8</v>
      </c>
      <c r="K344" s="5" t="s">
        <v>38</v>
      </c>
      <c r="L344" s="5" t="s">
        <v>49</v>
      </c>
      <c r="M344" s="5" t="s">
        <v>57</v>
      </c>
      <c r="N344" s="5" t="s">
        <v>58</v>
      </c>
      <c r="O344" s="5" t="s">
        <v>42</v>
      </c>
      <c r="P344" s="5" t="s">
        <v>15</v>
      </c>
      <c r="Q344" s="5" t="s">
        <v>17</v>
      </c>
      <c r="R344" s="5" t="s">
        <v>43</v>
      </c>
      <c r="S344" s="5" t="s">
        <v>21</v>
      </c>
      <c r="T344" s="6" t="s">
        <v>23</v>
      </c>
      <c r="U344" s="6">
        <v>1</v>
      </c>
      <c r="V344" s="6" t="s">
        <v>117</v>
      </c>
      <c r="W344" s="6">
        <v>1</v>
      </c>
      <c r="X344" s="6" t="s">
        <v>46</v>
      </c>
      <c r="Y344">
        <v>0</v>
      </c>
      <c r="Z344" s="5" t="s">
        <v>46</v>
      </c>
      <c r="AA344" s="5" t="s">
        <v>44</v>
      </c>
      <c r="AB344" s="5" t="s">
        <v>46</v>
      </c>
    </row>
    <row r="345" spans="1:28" x14ac:dyDescent="0.35">
      <c r="A345" s="8" t="s">
        <v>1451</v>
      </c>
      <c r="B345" s="5" t="s">
        <v>367</v>
      </c>
      <c r="C345">
        <v>1970</v>
      </c>
      <c r="D345">
        <f t="shared" ca="1" si="9"/>
        <v>55</v>
      </c>
      <c r="E345" s="5" t="s">
        <v>6</v>
      </c>
      <c r="F345" t="s">
        <v>151</v>
      </c>
      <c r="G345" t="str">
        <f t="shared" si="10"/>
        <v>500.000–1.000.000</v>
      </c>
      <c r="H345" t="s">
        <v>7</v>
      </c>
      <c r="I345">
        <v>1</v>
      </c>
      <c r="J345" t="s">
        <v>8</v>
      </c>
      <c r="K345" s="5" t="s">
        <v>38</v>
      </c>
      <c r="L345" s="5" t="s">
        <v>11</v>
      </c>
      <c r="M345" s="5" t="s">
        <v>57</v>
      </c>
      <c r="N345" s="5" t="s">
        <v>58</v>
      </c>
      <c r="O345" s="5" t="s">
        <v>42</v>
      </c>
      <c r="P345" s="5" t="s">
        <v>15</v>
      </c>
      <c r="Q345" s="5" t="s">
        <v>17</v>
      </c>
      <c r="R345" s="5" t="s">
        <v>43</v>
      </c>
      <c r="S345" s="5" t="s">
        <v>21</v>
      </c>
      <c r="T345" s="6" t="s">
        <v>23</v>
      </c>
      <c r="U345" s="6">
        <v>1</v>
      </c>
      <c r="V345" s="6" t="s">
        <v>26</v>
      </c>
      <c r="W345" s="6">
        <v>1</v>
      </c>
      <c r="X345" s="6" t="s">
        <v>46</v>
      </c>
      <c r="Y345">
        <v>0</v>
      </c>
      <c r="Z345" s="5" t="s">
        <v>46</v>
      </c>
      <c r="AA345" s="5" t="s">
        <v>46</v>
      </c>
      <c r="AB345" s="5" t="s">
        <v>46</v>
      </c>
    </row>
    <row r="346" spans="1:28" x14ac:dyDescent="0.35">
      <c r="A346" s="8" t="s">
        <v>1452</v>
      </c>
      <c r="B346" s="5" t="s">
        <v>421</v>
      </c>
      <c r="C346">
        <v>1980</v>
      </c>
      <c r="D346">
        <f t="shared" ca="1" si="9"/>
        <v>45</v>
      </c>
      <c r="E346" s="5" t="s">
        <v>28</v>
      </c>
      <c r="F346" t="s">
        <v>29</v>
      </c>
      <c r="G346" t="str">
        <f t="shared" si="10"/>
        <v>500.000–1.000.000</v>
      </c>
      <c r="H346" t="s">
        <v>7</v>
      </c>
      <c r="I346">
        <v>1</v>
      </c>
      <c r="J346" t="s">
        <v>8</v>
      </c>
      <c r="K346" s="5" t="s">
        <v>38</v>
      </c>
      <c r="L346" s="5" t="s">
        <v>11</v>
      </c>
      <c r="M346" s="5" t="s">
        <v>57</v>
      </c>
      <c r="N346" s="5" t="s">
        <v>58</v>
      </c>
      <c r="O346" s="5" t="s">
        <v>42</v>
      </c>
      <c r="P346" s="5" t="s">
        <v>15</v>
      </c>
      <c r="Q346" s="5" t="s">
        <v>17</v>
      </c>
      <c r="R346" s="5" t="s">
        <v>43</v>
      </c>
      <c r="S346" s="5" t="s">
        <v>21</v>
      </c>
      <c r="T346" s="6" t="s">
        <v>23</v>
      </c>
      <c r="U346" s="6">
        <v>1</v>
      </c>
      <c r="V346" s="6" t="s">
        <v>26</v>
      </c>
      <c r="W346" s="6">
        <v>1</v>
      </c>
      <c r="X346" s="6" t="s">
        <v>46</v>
      </c>
      <c r="Y346">
        <v>0</v>
      </c>
      <c r="Z346" s="5" t="s">
        <v>46</v>
      </c>
      <c r="AA346" s="5" t="s">
        <v>46</v>
      </c>
      <c r="AB346" s="5" t="s">
        <v>46</v>
      </c>
    </row>
    <row r="347" spans="1:28" x14ac:dyDescent="0.35">
      <c r="A347" s="8" t="s">
        <v>1453</v>
      </c>
      <c r="B347" s="5" t="s">
        <v>422</v>
      </c>
      <c r="C347">
        <v>1997</v>
      </c>
      <c r="D347">
        <f t="shared" ca="1" si="9"/>
        <v>28</v>
      </c>
      <c r="E347" s="5" t="s">
        <v>6</v>
      </c>
      <c r="F347" t="s">
        <v>29</v>
      </c>
      <c r="G347" t="str">
        <f t="shared" si="10"/>
        <v>&lt;500.000</v>
      </c>
      <c r="H347" t="s">
        <v>63</v>
      </c>
      <c r="I347">
        <v>2</v>
      </c>
      <c r="J347" t="s">
        <v>48</v>
      </c>
      <c r="K347" s="5" t="s">
        <v>38</v>
      </c>
      <c r="L347" s="5" t="s">
        <v>49</v>
      </c>
      <c r="M347" s="5" t="s">
        <v>57</v>
      </c>
      <c r="N347" s="5" t="s">
        <v>58</v>
      </c>
      <c r="O347" s="5" t="s">
        <v>42</v>
      </c>
      <c r="P347" s="5" t="s">
        <v>15</v>
      </c>
      <c r="Q347" s="5" t="s">
        <v>17</v>
      </c>
      <c r="R347" s="5" t="s">
        <v>43</v>
      </c>
      <c r="S347" s="5" t="s">
        <v>21</v>
      </c>
      <c r="T347" s="6" t="s">
        <v>73</v>
      </c>
      <c r="U347" s="6">
        <v>0</v>
      </c>
      <c r="V347" s="6" t="s">
        <v>73</v>
      </c>
      <c r="W347" s="6">
        <v>0</v>
      </c>
      <c r="X347" s="6" t="s">
        <v>46</v>
      </c>
      <c r="Y347">
        <v>0</v>
      </c>
      <c r="Z347" s="5" t="s">
        <v>64</v>
      </c>
      <c r="AA347" s="5" t="s">
        <v>46</v>
      </c>
      <c r="AB347" s="5" t="s">
        <v>46</v>
      </c>
    </row>
    <row r="348" spans="1:28" x14ac:dyDescent="0.35">
      <c r="A348" s="8" t="s">
        <v>1454</v>
      </c>
      <c r="B348" s="5" t="s">
        <v>423</v>
      </c>
      <c r="C348">
        <v>2000</v>
      </c>
      <c r="D348">
        <f t="shared" ca="1" si="9"/>
        <v>25</v>
      </c>
      <c r="E348" s="5" t="s">
        <v>28</v>
      </c>
      <c r="F348" t="s">
        <v>29</v>
      </c>
      <c r="G348" t="str">
        <f t="shared" si="10"/>
        <v>&lt;500.000</v>
      </c>
      <c r="H348" t="s">
        <v>63</v>
      </c>
      <c r="I348">
        <v>2</v>
      </c>
      <c r="J348" t="s">
        <v>48</v>
      </c>
      <c r="K348" s="5" t="s">
        <v>38</v>
      </c>
      <c r="L348" s="5" t="s">
        <v>49</v>
      </c>
      <c r="M348" s="5" t="s">
        <v>57</v>
      </c>
      <c r="N348" s="5" t="s">
        <v>58</v>
      </c>
      <c r="O348" s="5" t="s">
        <v>42</v>
      </c>
      <c r="P348" s="5" t="s">
        <v>15</v>
      </c>
      <c r="Q348" s="5" t="s">
        <v>17</v>
      </c>
      <c r="R348" s="5" t="s">
        <v>43</v>
      </c>
      <c r="S348" s="5" t="s">
        <v>21</v>
      </c>
      <c r="T348" s="6" t="s">
        <v>73</v>
      </c>
      <c r="U348" s="6">
        <v>0</v>
      </c>
      <c r="V348" s="6" t="s">
        <v>73</v>
      </c>
      <c r="W348" s="6">
        <v>0</v>
      </c>
      <c r="X348" s="6" t="s">
        <v>46</v>
      </c>
      <c r="Y348">
        <v>0</v>
      </c>
      <c r="Z348" s="5" t="s">
        <v>64</v>
      </c>
      <c r="AA348" s="5" t="s">
        <v>46</v>
      </c>
      <c r="AB348" s="5" t="s">
        <v>46</v>
      </c>
    </row>
    <row r="349" spans="1:28" x14ac:dyDescent="0.35">
      <c r="A349" s="8" t="s">
        <v>1455</v>
      </c>
      <c r="B349" s="5" t="s">
        <v>424</v>
      </c>
      <c r="C349">
        <v>1976</v>
      </c>
      <c r="D349">
        <f t="shared" ca="1" si="9"/>
        <v>49</v>
      </c>
      <c r="E349" s="5" t="s">
        <v>6</v>
      </c>
      <c r="F349" t="s">
        <v>54</v>
      </c>
      <c r="G349" t="str">
        <f t="shared" si="10"/>
        <v>1.000.000–2.000.000</v>
      </c>
      <c r="H349" t="s">
        <v>139</v>
      </c>
      <c r="I349">
        <v>1</v>
      </c>
      <c r="J349" t="s">
        <v>48</v>
      </c>
      <c r="K349" s="5" t="s">
        <v>114</v>
      </c>
      <c r="L349" s="5" t="s">
        <v>11</v>
      </c>
      <c r="M349" s="5" t="s">
        <v>57</v>
      </c>
      <c r="N349" s="5" t="s">
        <v>58</v>
      </c>
      <c r="O349" s="5" t="s">
        <v>42</v>
      </c>
      <c r="P349" s="5" t="s">
        <v>15</v>
      </c>
      <c r="Q349" s="5" t="s">
        <v>17</v>
      </c>
      <c r="R349" s="5" t="s">
        <v>43</v>
      </c>
      <c r="S349" s="5" t="s">
        <v>21</v>
      </c>
      <c r="T349" s="6" t="s">
        <v>73</v>
      </c>
      <c r="U349" s="6">
        <v>0</v>
      </c>
      <c r="V349" s="6" t="s">
        <v>26</v>
      </c>
      <c r="W349" s="6">
        <v>1</v>
      </c>
      <c r="X349" s="6" t="s">
        <v>46</v>
      </c>
      <c r="Y349">
        <v>0</v>
      </c>
      <c r="Z349" s="5" t="s">
        <v>46</v>
      </c>
      <c r="AA349" s="5" t="s">
        <v>46</v>
      </c>
      <c r="AB349" s="5" t="s">
        <v>46</v>
      </c>
    </row>
    <row r="350" spans="1:28" x14ac:dyDescent="0.35">
      <c r="A350" s="8" t="s">
        <v>1456</v>
      </c>
      <c r="B350" s="5" t="s">
        <v>425</v>
      </c>
      <c r="C350">
        <v>1958</v>
      </c>
      <c r="D350">
        <f t="shared" ref="D350:D413" ca="1" si="11">YEAR(TODAY()) - C350</f>
        <v>67</v>
      </c>
      <c r="E350" s="5" t="s">
        <v>6</v>
      </c>
      <c r="F350" t="s">
        <v>29</v>
      </c>
      <c r="G350" t="str">
        <f t="shared" si="10"/>
        <v>&lt;500.000</v>
      </c>
      <c r="H350" t="s">
        <v>30</v>
      </c>
      <c r="I350">
        <v>1</v>
      </c>
      <c r="J350" t="s">
        <v>8</v>
      </c>
      <c r="K350" s="5" t="s">
        <v>38</v>
      </c>
      <c r="L350" s="5" t="s">
        <v>49</v>
      </c>
      <c r="M350" s="5" t="s">
        <v>57</v>
      </c>
      <c r="N350" s="5" t="s">
        <v>58</v>
      </c>
      <c r="O350" s="5" t="s">
        <v>42</v>
      </c>
      <c r="P350" s="5" t="s">
        <v>15</v>
      </c>
      <c r="Q350" s="5" t="s">
        <v>17</v>
      </c>
      <c r="R350" s="5" t="s">
        <v>43</v>
      </c>
      <c r="S350" s="5" t="s">
        <v>21</v>
      </c>
      <c r="T350" s="6" t="s">
        <v>73</v>
      </c>
      <c r="U350" s="6">
        <v>0</v>
      </c>
      <c r="V350" s="6" t="s">
        <v>26</v>
      </c>
      <c r="W350" s="6">
        <v>1</v>
      </c>
      <c r="X350" s="6" t="s">
        <v>46</v>
      </c>
      <c r="Y350">
        <v>0</v>
      </c>
      <c r="Z350" s="5" t="s">
        <v>46</v>
      </c>
      <c r="AA350" s="5" t="s">
        <v>44</v>
      </c>
      <c r="AB350" s="5" t="s">
        <v>35</v>
      </c>
    </row>
    <row r="351" spans="1:28" x14ac:dyDescent="0.35">
      <c r="A351" s="8" t="s">
        <v>1457</v>
      </c>
      <c r="B351" s="5" t="s">
        <v>426</v>
      </c>
      <c r="C351">
        <v>1979</v>
      </c>
      <c r="D351">
        <f t="shared" ca="1" si="11"/>
        <v>46</v>
      </c>
      <c r="E351" s="5" t="s">
        <v>6</v>
      </c>
      <c r="F351" t="s">
        <v>54</v>
      </c>
      <c r="G351" t="str">
        <f t="shared" si="10"/>
        <v>500.000–1.000.000</v>
      </c>
      <c r="H351" t="s">
        <v>7</v>
      </c>
      <c r="I351">
        <v>3</v>
      </c>
      <c r="J351" t="s">
        <v>8</v>
      </c>
      <c r="K351" s="5" t="s">
        <v>114</v>
      </c>
      <c r="L351" s="5" t="s">
        <v>11</v>
      </c>
      <c r="M351" s="5" t="s">
        <v>57</v>
      </c>
      <c r="N351" s="5" t="s">
        <v>58</v>
      </c>
      <c r="O351" s="5" t="s">
        <v>42</v>
      </c>
      <c r="P351" s="5" t="s">
        <v>15</v>
      </c>
      <c r="Q351" s="5" t="s">
        <v>17</v>
      </c>
      <c r="R351" s="5" t="s">
        <v>43</v>
      </c>
      <c r="S351" s="5" t="s">
        <v>21</v>
      </c>
      <c r="T351" s="6" t="s">
        <v>84</v>
      </c>
      <c r="U351" s="6">
        <v>1</v>
      </c>
      <c r="V351" s="6" t="s">
        <v>26</v>
      </c>
      <c r="W351" s="6">
        <v>1</v>
      </c>
      <c r="X351" s="6" t="s">
        <v>46</v>
      </c>
      <c r="Y351">
        <v>1</v>
      </c>
      <c r="Z351" s="5" t="s">
        <v>44</v>
      </c>
      <c r="AA351" s="5" t="s">
        <v>46</v>
      </c>
      <c r="AB351" s="5" t="s">
        <v>46</v>
      </c>
    </row>
    <row r="352" spans="1:28" x14ac:dyDescent="0.35">
      <c r="A352" s="8" t="s">
        <v>1458</v>
      </c>
      <c r="B352" s="5" t="s">
        <v>427</v>
      </c>
      <c r="C352">
        <v>1987</v>
      </c>
      <c r="D352">
        <f t="shared" ca="1" si="11"/>
        <v>38</v>
      </c>
      <c r="E352" s="5" t="s">
        <v>28</v>
      </c>
      <c r="F352" t="s">
        <v>54</v>
      </c>
      <c r="G352" t="str">
        <f t="shared" si="10"/>
        <v>1.000.000–2.000.000</v>
      </c>
      <c r="H352" t="s">
        <v>139</v>
      </c>
      <c r="I352">
        <v>3</v>
      </c>
      <c r="J352" t="s">
        <v>8</v>
      </c>
      <c r="K352" s="5" t="s">
        <v>114</v>
      </c>
      <c r="L352" s="5" t="s">
        <v>11</v>
      </c>
      <c r="M352" s="5" t="s">
        <v>57</v>
      </c>
      <c r="N352" s="5" t="s">
        <v>58</v>
      </c>
      <c r="O352" s="5" t="s">
        <v>42</v>
      </c>
      <c r="P352" s="5" t="s">
        <v>15</v>
      </c>
      <c r="Q352" s="5" t="s">
        <v>17</v>
      </c>
      <c r="R352" s="5" t="s">
        <v>43</v>
      </c>
      <c r="S352" s="5" t="s">
        <v>21</v>
      </c>
      <c r="T352" s="6" t="s">
        <v>84</v>
      </c>
      <c r="U352" s="6">
        <v>1</v>
      </c>
      <c r="V352" s="6" t="s">
        <v>26</v>
      </c>
      <c r="W352" s="6">
        <v>1</v>
      </c>
      <c r="X352" s="6" t="s">
        <v>46</v>
      </c>
      <c r="Y352">
        <v>1</v>
      </c>
      <c r="Z352" s="5" t="s">
        <v>44</v>
      </c>
      <c r="AA352" s="5" t="s">
        <v>46</v>
      </c>
      <c r="AB352" s="5" t="s">
        <v>46</v>
      </c>
    </row>
    <row r="353" spans="1:28" x14ac:dyDescent="0.35">
      <c r="A353" s="8" t="s">
        <v>1459</v>
      </c>
      <c r="B353" s="5" t="s">
        <v>428</v>
      </c>
      <c r="C353">
        <v>1972</v>
      </c>
      <c r="D353">
        <f t="shared" ca="1" si="11"/>
        <v>53</v>
      </c>
      <c r="E353" s="5" t="s">
        <v>6</v>
      </c>
      <c r="F353" t="s">
        <v>29</v>
      </c>
      <c r="G353" t="str">
        <f t="shared" si="10"/>
        <v>&lt;500.000</v>
      </c>
      <c r="H353" t="s">
        <v>63</v>
      </c>
      <c r="I353">
        <v>1</v>
      </c>
      <c r="J353" t="s">
        <v>72</v>
      </c>
      <c r="K353" s="5" t="s">
        <v>407</v>
      </c>
      <c r="L353" s="5" t="s">
        <v>39</v>
      </c>
      <c r="M353" s="5" t="s">
        <v>57</v>
      </c>
      <c r="N353" s="5" t="s">
        <v>58</v>
      </c>
      <c r="O353" s="5" t="s">
        <v>89</v>
      </c>
      <c r="P353" s="5" t="s">
        <v>15</v>
      </c>
      <c r="Q353" s="5" t="s">
        <v>17</v>
      </c>
      <c r="R353" s="5" t="s">
        <v>43</v>
      </c>
      <c r="S353" s="5" t="s">
        <v>21</v>
      </c>
      <c r="T353" s="6" t="s">
        <v>73</v>
      </c>
      <c r="U353" s="6">
        <v>0</v>
      </c>
      <c r="V353" s="6" t="s">
        <v>73</v>
      </c>
      <c r="W353" s="6">
        <v>0</v>
      </c>
      <c r="X353" s="6" t="s">
        <v>46</v>
      </c>
      <c r="Y353">
        <v>0</v>
      </c>
      <c r="Z353" s="5" t="s">
        <v>46</v>
      </c>
      <c r="AA353" s="5" t="s">
        <v>46</v>
      </c>
      <c r="AB353" s="5" t="s">
        <v>46</v>
      </c>
    </row>
    <row r="354" spans="1:28" x14ac:dyDescent="0.35">
      <c r="A354" s="8" t="s">
        <v>1460</v>
      </c>
      <c r="B354" s="5" t="s">
        <v>429</v>
      </c>
      <c r="C354">
        <v>1954</v>
      </c>
      <c r="D354">
        <f t="shared" ca="1" si="11"/>
        <v>71</v>
      </c>
      <c r="E354" s="5" t="s">
        <v>6</v>
      </c>
      <c r="F354" t="s">
        <v>29</v>
      </c>
      <c r="G354" t="str">
        <f t="shared" si="10"/>
        <v>&lt;500.000</v>
      </c>
      <c r="H354" t="s">
        <v>63</v>
      </c>
      <c r="I354">
        <v>0</v>
      </c>
      <c r="J354" t="s">
        <v>8</v>
      </c>
      <c r="K354" s="5" t="s">
        <v>38</v>
      </c>
      <c r="L354" s="5" t="s">
        <v>11</v>
      </c>
      <c r="M354" s="5" t="s">
        <v>57</v>
      </c>
      <c r="N354" s="5" t="s">
        <v>58</v>
      </c>
      <c r="O354" s="5" t="s">
        <v>42</v>
      </c>
      <c r="P354" s="5" t="s">
        <v>15</v>
      </c>
      <c r="Q354" s="5" t="s">
        <v>17</v>
      </c>
      <c r="R354" s="5" t="s">
        <v>43</v>
      </c>
      <c r="S354" s="5" t="s">
        <v>21</v>
      </c>
      <c r="T354" s="6" t="s">
        <v>23</v>
      </c>
      <c r="U354" s="6">
        <v>1</v>
      </c>
      <c r="V354" s="6" t="s">
        <v>117</v>
      </c>
      <c r="W354" s="6">
        <v>1</v>
      </c>
      <c r="X354" s="6" t="s">
        <v>46</v>
      </c>
      <c r="Y354">
        <v>0</v>
      </c>
      <c r="Z354" s="5" t="s">
        <v>46</v>
      </c>
      <c r="AA354" s="5" t="s">
        <v>64</v>
      </c>
      <c r="AB354" s="5" t="s">
        <v>46</v>
      </c>
    </row>
    <row r="355" spans="1:28" x14ac:dyDescent="0.35">
      <c r="A355" s="8" t="s">
        <v>1461</v>
      </c>
      <c r="B355" s="5" t="s">
        <v>430</v>
      </c>
      <c r="C355">
        <v>1961</v>
      </c>
      <c r="D355">
        <f t="shared" ca="1" si="11"/>
        <v>64</v>
      </c>
      <c r="E355" s="5" t="s">
        <v>28</v>
      </c>
      <c r="F355" t="s">
        <v>137</v>
      </c>
      <c r="G355" t="str">
        <f t="shared" si="10"/>
        <v>500.000–1.000.000</v>
      </c>
      <c r="H355" t="s">
        <v>30</v>
      </c>
      <c r="I355">
        <v>0</v>
      </c>
      <c r="J355" t="s">
        <v>8</v>
      </c>
      <c r="K355" s="5" t="s">
        <v>38</v>
      </c>
      <c r="L355" s="5" t="s">
        <v>11</v>
      </c>
      <c r="M355" s="5" t="s">
        <v>57</v>
      </c>
      <c r="N355" s="5" t="s">
        <v>58</v>
      </c>
      <c r="O355" s="5" t="s">
        <v>42</v>
      </c>
      <c r="P355" s="5" t="s">
        <v>15</v>
      </c>
      <c r="Q355" s="5" t="s">
        <v>17</v>
      </c>
      <c r="R355" s="5" t="s">
        <v>43</v>
      </c>
      <c r="S355" s="5" t="s">
        <v>21</v>
      </c>
      <c r="T355" s="6" t="s">
        <v>23</v>
      </c>
      <c r="U355" s="6">
        <v>1</v>
      </c>
      <c r="V355" s="6" t="s">
        <v>117</v>
      </c>
      <c r="W355" s="6">
        <v>1</v>
      </c>
      <c r="X355" s="6" t="s">
        <v>46</v>
      </c>
      <c r="Y355">
        <v>0</v>
      </c>
      <c r="Z355" s="5" t="s">
        <v>46</v>
      </c>
      <c r="AA355" s="5" t="s">
        <v>64</v>
      </c>
      <c r="AB355" s="5" t="s">
        <v>74</v>
      </c>
    </row>
    <row r="356" spans="1:28" x14ac:dyDescent="0.35">
      <c r="A356" s="8" t="s">
        <v>1462</v>
      </c>
      <c r="B356" s="5" t="s">
        <v>431</v>
      </c>
      <c r="C356">
        <v>1968</v>
      </c>
      <c r="D356">
        <f t="shared" ca="1" si="11"/>
        <v>57</v>
      </c>
      <c r="E356" s="5" t="s">
        <v>6</v>
      </c>
      <c r="F356" t="s">
        <v>29</v>
      </c>
      <c r="G356" t="str">
        <f t="shared" si="10"/>
        <v>&lt;500.000</v>
      </c>
      <c r="H356" t="s">
        <v>63</v>
      </c>
      <c r="I356">
        <v>1</v>
      </c>
      <c r="J356" t="s">
        <v>8</v>
      </c>
      <c r="K356" s="5" t="s">
        <v>38</v>
      </c>
      <c r="L356" s="5" t="s">
        <v>11</v>
      </c>
      <c r="M356" s="5" t="s">
        <v>57</v>
      </c>
      <c r="N356" s="5" t="s">
        <v>58</v>
      </c>
      <c r="O356" s="5" t="s">
        <v>42</v>
      </c>
      <c r="P356" s="5" t="s">
        <v>15</v>
      </c>
      <c r="Q356" s="5" t="s">
        <v>17</v>
      </c>
      <c r="R356" s="5" t="s">
        <v>43</v>
      </c>
      <c r="S356" s="5" t="s">
        <v>21</v>
      </c>
      <c r="T356" s="6" t="s">
        <v>23</v>
      </c>
      <c r="U356" s="6">
        <v>1</v>
      </c>
      <c r="V356" s="6" t="s">
        <v>117</v>
      </c>
      <c r="W356" s="6">
        <v>1</v>
      </c>
      <c r="X356" s="6" t="s">
        <v>60</v>
      </c>
      <c r="Y356">
        <v>0</v>
      </c>
      <c r="Z356" s="5" t="s">
        <v>46</v>
      </c>
      <c r="AA356" s="5" t="s">
        <v>46</v>
      </c>
      <c r="AB356" s="5" t="s">
        <v>46</v>
      </c>
    </row>
    <row r="357" spans="1:28" x14ac:dyDescent="0.35">
      <c r="A357" s="8" t="s">
        <v>1463</v>
      </c>
      <c r="B357" s="5" t="s">
        <v>340</v>
      </c>
      <c r="C357">
        <v>1969</v>
      </c>
      <c r="D357">
        <f t="shared" ca="1" si="11"/>
        <v>56</v>
      </c>
      <c r="E357" s="5" t="s">
        <v>28</v>
      </c>
      <c r="F357" t="s">
        <v>162</v>
      </c>
      <c r="G357" t="str">
        <f t="shared" si="10"/>
        <v>1.000.000–2.000.000</v>
      </c>
      <c r="H357" t="s">
        <v>7</v>
      </c>
      <c r="I357">
        <v>1</v>
      </c>
      <c r="J357" t="s">
        <v>8</v>
      </c>
      <c r="K357" s="5" t="s">
        <v>38</v>
      </c>
      <c r="L357" s="5" t="s">
        <v>11</v>
      </c>
      <c r="M357" s="5" t="s">
        <v>57</v>
      </c>
      <c r="N357" s="5" t="s">
        <v>58</v>
      </c>
      <c r="O357" s="5" t="s">
        <v>42</v>
      </c>
      <c r="P357" s="5" t="s">
        <v>15</v>
      </c>
      <c r="Q357" s="5" t="s">
        <v>17</v>
      </c>
      <c r="R357" s="5" t="s">
        <v>43</v>
      </c>
      <c r="S357" s="5" t="s">
        <v>21</v>
      </c>
      <c r="T357" s="6" t="s">
        <v>23</v>
      </c>
      <c r="U357" s="6">
        <v>1</v>
      </c>
      <c r="V357" s="6" t="s">
        <v>117</v>
      </c>
      <c r="W357" s="6">
        <v>1</v>
      </c>
      <c r="X357" s="6" t="s">
        <v>60</v>
      </c>
      <c r="Y357">
        <v>0</v>
      </c>
      <c r="Z357" s="5" t="s">
        <v>46</v>
      </c>
      <c r="AA357" s="5" t="s">
        <v>46</v>
      </c>
      <c r="AB357" s="5" t="s">
        <v>74</v>
      </c>
    </row>
    <row r="358" spans="1:28" x14ac:dyDescent="0.35">
      <c r="A358" s="8" t="s">
        <v>1464</v>
      </c>
      <c r="B358" s="5" t="s">
        <v>432</v>
      </c>
      <c r="C358">
        <v>1996</v>
      </c>
      <c r="D358">
        <f t="shared" ca="1" si="11"/>
        <v>29</v>
      </c>
      <c r="E358" s="5" t="s">
        <v>6</v>
      </c>
      <c r="F358" t="s">
        <v>162</v>
      </c>
      <c r="G358" t="str">
        <f t="shared" si="10"/>
        <v>1.000.000–2.000.000</v>
      </c>
      <c r="H358" t="s">
        <v>7</v>
      </c>
      <c r="I358">
        <v>2</v>
      </c>
      <c r="J358" t="s">
        <v>48</v>
      </c>
      <c r="K358" s="5" t="s">
        <v>38</v>
      </c>
      <c r="L358" s="5" t="s">
        <v>11</v>
      </c>
      <c r="M358" s="5" t="s">
        <v>57</v>
      </c>
      <c r="N358" s="5" t="s">
        <v>58</v>
      </c>
      <c r="O358" s="5" t="s">
        <v>42</v>
      </c>
      <c r="P358" s="5" t="s">
        <v>15</v>
      </c>
      <c r="Q358" s="5" t="s">
        <v>17</v>
      </c>
      <c r="R358" s="5" t="s">
        <v>43</v>
      </c>
      <c r="S358" s="5" t="s">
        <v>21</v>
      </c>
      <c r="T358" s="6" t="s">
        <v>23</v>
      </c>
      <c r="U358" s="6">
        <v>1</v>
      </c>
      <c r="V358" s="6" t="s">
        <v>76</v>
      </c>
      <c r="W358" s="6">
        <v>1</v>
      </c>
      <c r="X358" s="6" t="s">
        <v>46</v>
      </c>
      <c r="Y358">
        <v>1</v>
      </c>
      <c r="Z358" s="5" t="s">
        <v>44</v>
      </c>
      <c r="AA358" s="5" t="s">
        <v>46</v>
      </c>
      <c r="AB358" s="5" t="s">
        <v>46</v>
      </c>
    </row>
    <row r="359" spans="1:28" x14ac:dyDescent="0.35">
      <c r="A359" s="8" t="s">
        <v>1465</v>
      </c>
      <c r="B359" s="5" t="s">
        <v>433</v>
      </c>
      <c r="C359">
        <v>1996</v>
      </c>
      <c r="D359">
        <f t="shared" ca="1" si="11"/>
        <v>29</v>
      </c>
      <c r="E359" s="5" t="s">
        <v>28</v>
      </c>
      <c r="F359" t="s">
        <v>119</v>
      </c>
      <c r="G359" t="str">
        <f t="shared" si="10"/>
        <v>500.000–1.000.000</v>
      </c>
      <c r="H359" t="s">
        <v>7</v>
      </c>
      <c r="I359">
        <v>2</v>
      </c>
      <c r="J359" t="s">
        <v>48</v>
      </c>
      <c r="K359" s="5" t="s">
        <v>38</v>
      </c>
      <c r="L359" s="5" t="s">
        <v>11</v>
      </c>
      <c r="M359" s="5" t="s">
        <v>57</v>
      </c>
      <c r="N359" s="5" t="s">
        <v>58</v>
      </c>
      <c r="O359" s="5" t="s">
        <v>42</v>
      </c>
      <c r="P359" s="5" t="s">
        <v>15</v>
      </c>
      <c r="Q359" s="5" t="s">
        <v>17</v>
      </c>
      <c r="R359" s="5" t="s">
        <v>43</v>
      </c>
      <c r="S359" s="5" t="s">
        <v>21</v>
      </c>
      <c r="T359" s="6" t="s">
        <v>23</v>
      </c>
      <c r="U359" s="6">
        <v>1</v>
      </c>
      <c r="V359" s="6" t="s">
        <v>76</v>
      </c>
      <c r="W359" s="6">
        <v>1</v>
      </c>
      <c r="X359" s="6" t="s">
        <v>46</v>
      </c>
      <c r="Y359">
        <v>1</v>
      </c>
      <c r="Z359" s="5" t="s">
        <v>44</v>
      </c>
      <c r="AA359" s="5" t="s">
        <v>46</v>
      </c>
      <c r="AB359" s="5" t="s">
        <v>46</v>
      </c>
    </row>
    <row r="360" spans="1:28" x14ac:dyDescent="0.35">
      <c r="A360" s="8" t="s">
        <v>1466</v>
      </c>
      <c r="B360" s="5" t="s">
        <v>262</v>
      </c>
      <c r="C360">
        <v>1976</v>
      </c>
      <c r="D360">
        <f t="shared" ca="1" si="11"/>
        <v>49</v>
      </c>
      <c r="E360" s="5" t="s">
        <v>6</v>
      </c>
      <c r="F360" t="s">
        <v>29</v>
      </c>
      <c r="G360" t="str">
        <f t="shared" si="10"/>
        <v>&lt;500.000</v>
      </c>
      <c r="H360" t="s">
        <v>63</v>
      </c>
      <c r="I360">
        <v>0</v>
      </c>
      <c r="J360" t="s">
        <v>8</v>
      </c>
      <c r="K360" s="5" t="s">
        <v>38</v>
      </c>
      <c r="L360" s="5" t="s">
        <v>49</v>
      </c>
      <c r="M360" s="5" t="s">
        <v>57</v>
      </c>
      <c r="N360" s="5" t="s">
        <v>58</v>
      </c>
      <c r="O360" s="5" t="s">
        <v>89</v>
      </c>
      <c r="P360" s="5" t="s">
        <v>15</v>
      </c>
      <c r="Q360" s="5" t="s">
        <v>17</v>
      </c>
      <c r="R360" s="5" t="s">
        <v>43</v>
      </c>
      <c r="S360" s="5" t="s">
        <v>21</v>
      </c>
      <c r="T360" s="6" t="s">
        <v>73</v>
      </c>
      <c r="U360" s="6">
        <v>0</v>
      </c>
      <c r="V360" s="6" t="s">
        <v>73</v>
      </c>
      <c r="W360" s="6">
        <v>0</v>
      </c>
      <c r="X360" s="6" t="s">
        <v>46</v>
      </c>
      <c r="Y360">
        <v>0</v>
      </c>
      <c r="Z360" s="5" t="s">
        <v>46</v>
      </c>
      <c r="AA360" s="5" t="s">
        <v>46</v>
      </c>
      <c r="AB360" s="5" t="s">
        <v>46</v>
      </c>
    </row>
    <row r="361" spans="1:28" x14ac:dyDescent="0.35">
      <c r="A361" s="8" t="s">
        <v>1467</v>
      </c>
      <c r="B361" s="5" t="s">
        <v>434</v>
      </c>
      <c r="C361">
        <v>1977</v>
      </c>
      <c r="D361">
        <f t="shared" ca="1" si="11"/>
        <v>48</v>
      </c>
      <c r="E361" s="5" t="s">
        <v>28</v>
      </c>
      <c r="F361" t="s">
        <v>29</v>
      </c>
      <c r="G361" t="str">
        <f t="shared" si="10"/>
        <v>&lt;500.000</v>
      </c>
      <c r="H361" t="s">
        <v>63</v>
      </c>
      <c r="I361">
        <v>0</v>
      </c>
      <c r="J361" t="s">
        <v>8</v>
      </c>
      <c r="K361" s="5" t="s">
        <v>38</v>
      </c>
      <c r="L361" s="5" t="s">
        <v>49</v>
      </c>
      <c r="M361" s="5" t="s">
        <v>57</v>
      </c>
      <c r="N361" s="5" t="s">
        <v>58</v>
      </c>
      <c r="O361" s="5" t="s">
        <v>89</v>
      </c>
      <c r="P361" s="5" t="s">
        <v>15</v>
      </c>
      <c r="Q361" s="5" t="s">
        <v>17</v>
      </c>
      <c r="R361" s="5" t="s">
        <v>43</v>
      </c>
      <c r="S361" s="5" t="s">
        <v>21</v>
      </c>
      <c r="T361" s="6" t="s">
        <v>73</v>
      </c>
      <c r="U361" s="6">
        <v>0</v>
      </c>
      <c r="V361" s="6" t="s">
        <v>73</v>
      </c>
      <c r="W361" s="6">
        <v>0</v>
      </c>
      <c r="X361" s="6" t="s">
        <v>46</v>
      </c>
      <c r="Y361">
        <v>0</v>
      </c>
      <c r="Z361" s="5" t="s">
        <v>46</v>
      </c>
      <c r="AA361" s="5" t="s">
        <v>46</v>
      </c>
      <c r="AB361" s="5" t="s">
        <v>46</v>
      </c>
    </row>
    <row r="362" spans="1:28" x14ac:dyDescent="0.35">
      <c r="A362" s="8" t="s">
        <v>1468</v>
      </c>
      <c r="B362" s="5" t="s">
        <v>435</v>
      </c>
      <c r="C362">
        <v>1989</v>
      </c>
      <c r="D362">
        <f t="shared" ca="1" si="11"/>
        <v>36</v>
      </c>
      <c r="E362" s="5" t="s">
        <v>6</v>
      </c>
      <c r="F362" t="s">
        <v>55</v>
      </c>
      <c r="G362" t="str">
        <f t="shared" si="10"/>
        <v>1.000.000–2.000.000</v>
      </c>
      <c r="H362" t="s">
        <v>139</v>
      </c>
      <c r="I362">
        <v>2</v>
      </c>
      <c r="J362" t="s">
        <v>48</v>
      </c>
      <c r="K362" s="5" t="s">
        <v>38</v>
      </c>
      <c r="L362" s="5" t="s">
        <v>11</v>
      </c>
      <c r="M362" s="5" t="s">
        <v>57</v>
      </c>
      <c r="N362" s="5" t="s">
        <v>58</v>
      </c>
      <c r="O362" s="5" t="s">
        <v>42</v>
      </c>
      <c r="P362" s="5" t="s">
        <v>15</v>
      </c>
      <c r="Q362" s="5" t="s">
        <v>17</v>
      </c>
      <c r="R362" s="5" t="s">
        <v>43</v>
      </c>
      <c r="S362" s="5" t="s">
        <v>21</v>
      </c>
      <c r="T362" s="6" t="s">
        <v>23</v>
      </c>
      <c r="U362" s="6">
        <v>1</v>
      </c>
      <c r="V362" s="6" t="s">
        <v>26</v>
      </c>
      <c r="W362" s="6">
        <v>1</v>
      </c>
      <c r="X362" s="6" t="s">
        <v>46</v>
      </c>
      <c r="Y362">
        <v>1</v>
      </c>
      <c r="Z362" s="5" t="s">
        <v>44</v>
      </c>
      <c r="AA362" s="5" t="s">
        <v>46</v>
      </c>
      <c r="AB362" s="5" t="s">
        <v>46</v>
      </c>
    </row>
    <row r="363" spans="1:28" x14ac:dyDescent="0.35">
      <c r="A363" s="8" t="s">
        <v>1469</v>
      </c>
      <c r="B363" s="5" t="s">
        <v>436</v>
      </c>
      <c r="C363">
        <v>1991</v>
      </c>
      <c r="D363">
        <f t="shared" ca="1" si="11"/>
        <v>34</v>
      </c>
      <c r="E363" s="5" t="s">
        <v>28</v>
      </c>
      <c r="F363" t="s">
        <v>55</v>
      </c>
      <c r="G363" t="str">
        <f t="shared" si="10"/>
        <v>1.000.000–2.000.000</v>
      </c>
      <c r="H363" t="s">
        <v>139</v>
      </c>
      <c r="I363">
        <v>2</v>
      </c>
      <c r="J363" t="s">
        <v>48</v>
      </c>
      <c r="K363" s="5" t="s">
        <v>38</v>
      </c>
      <c r="L363" s="5" t="s">
        <v>11</v>
      </c>
      <c r="M363" s="5" t="s">
        <v>57</v>
      </c>
      <c r="N363" s="5" t="s">
        <v>58</v>
      </c>
      <c r="O363" s="5" t="s">
        <v>42</v>
      </c>
      <c r="P363" s="5" t="s">
        <v>15</v>
      </c>
      <c r="Q363" s="5" t="s">
        <v>17</v>
      </c>
      <c r="R363" s="5" t="s">
        <v>43</v>
      </c>
      <c r="S363" s="5" t="s">
        <v>21</v>
      </c>
      <c r="T363" s="6" t="s">
        <v>23</v>
      </c>
      <c r="U363" s="6">
        <v>1</v>
      </c>
      <c r="V363" s="6" t="s">
        <v>26</v>
      </c>
      <c r="W363" s="6">
        <v>1</v>
      </c>
      <c r="X363" s="6" t="s">
        <v>46</v>
      </c>
      <c r="Y363">
        <v>1</v>
      </c>
      <c r="Z363" s="5" t="s">
        <v>44</v>
      </c>
      <c r="AA363" s="5" t="s">
        <v>46</v>
      </c>
      <c r="AB363" s="5" t="s">
        <v>46</v>
      </c>
    </row>
    <row r="364" spans="1:28" x14ac:dyDescent="0.35">
      <c r="A364" s="8" t="s">
        <v>1470</v>
      </c>
      <c r="B364" s="5" t="s">
        <v>437</v>
      </c>
      <c r="C364">
        <v>1998</v>
      </c>
      <c r="D364">
        <f t="shared" ca="1" si="11"/>
        <v>27</v>
      </c>
      <c r="E364" s="5" t="s">
        <v>6</v>
      </c>
      <c r="F364" t="s">
        <v>54</v>
      </c>
      <c r="G364" t="str">
        <f t="shared" si="10"/>
        <v>1.000.000–2.000.000</v>
      </c>
      <c r="H364" t="s">
        <v>139</v>
      </c>
      <c r="I364">
        <v>1</v>
      </c>
      <c r="J364" t="s">
        <v>48</v>
      </c>
      <c r="K364" s="5" t="s">
        <v>38</v>
      </c>
      <c r="L364" s="5" t="s">
        <v>11</v>
      </c>
      <c r="M364" s="5" t="s">
        <v>57</v>
      </c>
      <c r="N364" s="5" t="s">
        <v>58</v>
      </c>
      <c r="O364" s="5" t="s">
        <v>42</v>
      </c>
      <c r="P364" s="5" t="s">
        <v>15</v>
      </c>
      <c r="Q364" s="5" t="s">
        <v>17</v>
      </c>
      <c r="R364" s="5" t="s">
        <v>43</v>
      </c>
      <c r="S364" s="5" t="s">
        <v>21</v>
      </c>
      <c r="T364" s="6" t="s">
        <v>73</v>
      </c>
      <c r="U364" s="6">
        <v>0</v>
      </c>
      <c r="V364" s="6" t="s">
        <v>26</v>
      </c>
      <c r="W364" s="6">
        <v>1</v>
      </c>
      <c r="X364" s="6" t="s">
        <v>46</v>
      </c>
      <c r="Y364">
        <v>0</v>
      </c>
      <c r="Z364" s="5" t="s">
        <v>44</v>
      </c>
      <c r="AA364" s="5" t="s">
        <v>46</v>
      </c>
      <c r="AB364" s="5" t="s">
        <v>46</v>
      </c>
    </row>
    <row r="365" spans="1:28" x14ac:dyDescent="0.35">
      <c r="A365" s="8" t="s">
        <v>1471</v>
      </c>
      <c r="B365" s="5" t="s">
        <v>438</v>
      </c>
      <c r="C365">
        <v>1999</v>
      </c>
      <c r="D365">
        <f t="shared" ca="1" si="11"/>
        <v>26</v>
      </c>
      <c r="E365" s="5" t="s">
        <v>28</v>
      </c>
      <c r="F365" t="s">
        <v>29</v>
      </c>
      <c r="G365" t="str">
        <f t="shared" si="10"/>
        <v>500.000–1.000.000</v>
      </c>
      <c r="H365" t="s">
        <v>139</v>
      </c>
      <c r="I365">
        <v>1</v>
      </c>
      <c r="J365" t="s">
        <v>48</v>
      </c>
      <c r="K365" s="5" t="s">
        <v>38</v>
      </c>
      <c r="L365" s="5" t="s">
        <v>11</v>
      </c>
      <c r="M365" s="5" t="s">
        <v>57</v>
      </c>
      <c r="N365" s="5" t="s">
        <v>58</v>
      </c>
      <c r="O365" s="5" t="s">
        <v>42</v>
      </c>
      <c r="P365" s="5" t="s">
        <v>15</v>
      </c>
      <c r="Q365" s="5" t="s">
        <v>17</v>
      </c>
      <c r="R365" s="5" t="s">
        <v>43</v>
      </c>
      <c r="S365" s="5" t="s">
        <v>21</v>
      </c>
      <c r="T365" s="6" t="s">
        <v>73</v>
      </c>
      <c r="U365" s="6">
        <v>0</v>
      </c>
      <c r="V365" s="6" t="s">
        <v>26</v>
      </c>
      <c r="W365" s="6">
        <v>1</v>
      </c>
      <c r="X365" s="6" t="s">
        <v>46</v>
      </c>
      <c r="Y365">
        <v>0</v>
      </c>
      <c r="Z365" s="5" t="s">
        <v>44</v>
      </c>
      <c r="AA365" s="5" t="s">
        <v>46</v>
      </c>
      <c r="AB365" s="5" t="s">
        <v>46</v>
      </c>
    </row>
    <row r="366" spans="1:28" x14ac:dyDescent="0.35">
      <c r="A366" s="8" t="s">
        <v>1472</v>
      </c>
      <c r="B366" s="5" t="s">
        <v>439</v>
      </c>
      <c r="C366">
        <v>1977</v>
      </c>
      <c r="D366">
        <f t="shared" ca="1" si="11"/>
        <v>48</v>
      </c>
      <c r="E366" s="5" t="s">
        <v>6</v>
      </c>
      <c r="F366" t="s">
        <v>29</v>
      </c>
      <c r="G366" t="str">
        <f t="shared" si="10"/>
        <v>&lt;500.000</v>
      </c>
      <c r="H366" t="s">
        <v>63</v>
      </c>
      <c r="I366">
        <v>3</v>
      </c>
      <c r="J366" t="s">
        <v>8</v>
      </c>
      <c r="K366" s="5" t="s">
        <v>38</v>
      </c>
      <c r="L366" s="5" t="s">
        <v>11</v>
      </c>
      <c r="M366" s="5" t="s">
        <v>57</v>
      </c>
      <c r="N366" s="5" t="s">
        <v>58</v>
      </c>
      <c r="O366" s="5" t="s">
        <v>42</v>
      </c>
      <c r="P366" s="5" t="s">
        <v>15</v>
      </c>
      <c r="Q366" s="5" t="s">
        <v>17</v>
      </c>
      <c r="R366" s="5" t="s">
        <v>43</v>
      </c>
      <c r="S366" s="5" t="s">
        <v>21</v>
      </c>
      <c r="T366" s="6" t="s">
        <v>73</v>
      </c>
      <c r="U366" s="6">
        <v>0</v>
      </c>
      <c r="V366" s="6" t="s">
        <v>73</v>
      </c>
      <c r="W366" s="6">
        <v>0</v>
      </c>
      <c r="X366" s="6" t="s">
        <v>46</v>
      </c>
      <c r="Y366">
        <v>1</v>
      </c>
      <c r="Z366" s="5" t="s">
        <v>46</v>
      </c>
      <c r="AA366" s="5" t="s">
        <v>46</v>
      </c>
      <c r="AB366" s="5" t="s">
        <v>46</v>
      </c>
    </row>
    <row r="367" spans="1:28" x14ac:dyDescent="0.35">
      <c r="A367" s="8" t="s">
        <v>1473</v>
      </c>
      <c r="B367" s="5" t="s">
        <v>440</v>
      </c>
      <c r="C367">
        <v>1973</v>
      </c>
      <c r="D367">
        <f t="shared" ca="1" si="11"/>
        <v>52</v>
      </c>
      <c r="E367" s="5" t="s">
        <v>6</v>
      </c>
      <c r="F367" t="s">
        <v>151</v>
      </c>
      <c r="G367" t="str">
        <f t="shared" si="10"/>
        <v>500.000–1.000.000</v>
      </c>
      <c r="H367" t="s">
        <v>7</v>
      </c>
      <c r="I367">
        <v>2</v>
      </c>
      <c r="J367" t="s">
        <v>8</v>
      </c>
      <c r="K367" s="5" t="s">
        <v>38</v>
      </c>
      <c r="L367" s="5" t="s">
        <v>11</v>
      </c>
      <c r="M367" s="5" t="s">
        <v>57</v>
      </c>
      <c r="N367" s="5" t="s">
        <v>58</v>
      </c>
      <c r="O367" s="5" t="s">
        <v>42</v>
      </c>
      <c r="P367" s="5" t="s">
        <v>15</v>
      </c>
      <c r="Q367" s="5" t="s">
        <v>17</v>
      </c>
      <c r="R367" s="5" t="s">
        <v>43</v>
      </c>
      <c r="S367" s="5" t="s">
        <v>21</v>
      </c>
      <c r="T367" s="6" t="s">
        <v>23</v>
      </c>
      <c r="U367" s="6">
        <v>1</v>
      </c>
      <c r="V367" s="6" t="s">
        <v>26</v>
      </c>
      <c r="W367" s="6">
        <v>1</v>
      </c>
      <c r="X367" s="6" t="s">
        <v>46</v>
      </c>
      <c r="Y367">
        <v>1</v>
      </c>
      <c r="Z367" s="5" t="s">
        <v>46</v>
      </c>
      <c r="AA367" s="5" t="s">
        <v>46</v>
      </c>
      <c r="AB367" s="5" t="s">
        <v>35</v>
      </c>
    </row>
    <row r="368" spans="1:28" x14ac:dyDescent="0.35">
      <c r="A368" s="8" t="s">
        <v>1474</v>
      </c>
      <c r="B368" s="5" t="s">
        <v>441</v>
      </c>
      <c r="C368">
        <v>1975</v>
      </c>
      <c r="D368">
        <f t="shared" ca="1" si="11"/>
        <v>50</v>
      </c>
      <c r="E368" s="5" t="s">
        <v>28</v>
      </c>
      <c r="F368" t="s">
        <v>29</v>
      </c>
      <c r="G368" t="str">
        <f t="shared" si="10"/>
        <v>500.000–1.000.000</v>
      </c>
      <c r="H368" t="s">
        <v>7</v>
      </c>
      <c r="I368">
        <v>2</v>
      </c>
      <c r="J368" t="s">
        <v>8</v>
      </c>
      <c r="K368" s="5" t="s">
        <v>38</v>
      </c>
      <c r="L368" s="5" t="s">
        <v>11</v>
      </c>
      <c r="M368" s="5" t="s">
        <v>57</v>
      </c>
      <c r="N368" s="5" t="s">
        <v>58</v>
      </c>
      <c r="O368" s="5" t="s">
        <v>42</v>
      </c>
      <c r="P368" s="5" t="s">
        <v>15</v>
      </c>
      <c r="Q368" s="5" t="s">
        <v>17</v>
      </c>
      <c r="R368" s="5" t="s">
        <v>43</v>
      </c>
      <c r="S368" s="5" t="s">
        <v>21</v>
      </c>
      <c r="T368" s="6" t="s">
        <v>23</v>
      </c>
      <c r="U368" s="6">
        <v>1</v>
      </c>
      <c r="V368" s="6" t="s">
        <v>26</v>
      </c>
      <c r="W368" s="6">
        <v>1</v>
      </c>
      <c r="X368" s="6" t="s">
        <v>46</v>
      </c>
      <c r="Y368">
        <v>1</v>
      </c>
      <c r="Z368" s="5" t="s">
        <v>46</v>
      </c>
      <c r="AA368" s="5" t="s">
        <v>46</v>
      </c>
      <c r="AB368" s="5" t="s">
        <v>74</v>
      </c>
    </row>
    <row r="369" spans="1:28" x14ac:dyDescent="0.35">
      <c r="A369" s="8" t="s">
        <v>1475</v>
      </c>
      <c r="B369" s="5" t="s">
        <v>442</v>
      </c>
      <c r="C369">
        <v>1988</v>
      </c>
      <c r="D369">
        <f t="shared" ca="1" si="11"/>
        <v>37</v>
      </c>
      <c r="E369" s="5" t="s">
        <v>6</v>
      </c>
      <c r="F369" t="s">
        <v>54</v>
      </c>
      <c r="G369" t="str">
        <f t="shared" si="10"/>
        <v>500.000–1.000.000</v>
      </c>
      <c r="H369" t="s">
        <v>30</v>
      </c>
      <c r="I369">
        <v>2</v>
      </c>
      <c r="J369" t="s">
        <v>8</v>
      </c>
      <c r="K369" s="5" t="s">
        <v>114</v>
      </c>
      <c r="L369" s="5" t="s">
        <v>11</v>
      </c>
      <c r="M369" s="5" t="s">
        <v>57</v>
      </c>
      <c r="N369" s="5" t="s">
        <v>58</v>
      </c>
      <c r="O369" s="5" t="s">
        <v>42</v>
      </c>
      <c r="P369" s="5" t="s">
        <v>15</v>
      </c>
      <c r="Q369" s="5" t="s">
        <v>17</v>
      </c>
      <c r="R369" s="5" t="s">
        <v>43</v>
      </c>
      <c r="S369" s="5" t="s">
        <v>21</v>
      </c>
      <c r="T369" s="6" t="s">
        <v>73</v>
      </c>
      <c r="U369" s="6">
        <v>0</v>
      </c>
      <c r="V369" s="6" t="s">
        <v>76</v>
      </c>
      <c r="W369" s="6">
        <v>1</v>
      </c>
      <c r="X369" s="6" t="s">
        <v>46</v>
      </c>
      <c r="Y369">
        <v>1</v>
      </c>
      <c r="Z369" s="5" t="s">
        <v>44</v>
      </c>
      <c r="AA369" s="5" t="s">
        <v>46</v>
      </c>
      <c r="AB369" s="5" t="s">
        <v>46</v>
      </c>
    </row>
    <row r="370" spans="1:28" x14ac:dyDescent="0.35">
      <c r="A370" s="8" t="s">
        <v>1476</v>
      </c>
      <c r="B370" s="5" t="s">
        <v>443</v>
      </c>
      <c r="C370">
        <v>1996</v>
      </c>
      <c r="D370">
        <f t="shared" ca="1" si="11"/>
        <v>29</v>
      </c>
      <c r="E370" s="5" t="s">
        <v>28</v>
      </c>
      <c r="F370" t="s">
        <v>29</v>
      </c>
      <c r="G370" t="str">
        <f t="shared" si="10"/>
        <v>&lt;500.000</v>
      </c>
      <c r="H370" t="s">
        <v>30</v>
      </c>
      <c r="I370">
        <v>2</v>
      </c>
      <c r="J370" t="s">
        <v>8</v>
      </c>
      <c r="K370" s="5" t="s">
        <v>114</v>
      </c>
      <c r="L370" s="5" t="s">
        <v>11</v>
      </c>
      <c r="M370" s="5" t="s">
        <v>57</v>
      </c>
      <c r="N370" s="5" t="s">
        <v>58</v>
      </c>
      <c r="O370" s="5" t="s">
        <v>42</v>
      </c>
      <c r="P370" s="5" t="s">
        <v>15</v>
      </c>
      <c r="Q370" s="5" t="s">
        <v>17</v>
      </c>
      <c r="R370" s="5" t="s">
        <v>43</v>
      </c>
      <c r="S370" s="5" t="s">
        <v>21</v>
      </c>
      <c r="T370" s="6" t="s">
        <v>73</v>
      </c>
      <c r="U370" s="6">
        <v>0</v>
      </c>
      <c r="V370" s="6" t="s">
        <v>76</v>
      </c>
      <c r="W370" s="6">
        <v>1</v>
      </c>
      <c r="X370" s="6" t="s">
        <v>46</v>
      </c>
      <c r="Y370">
        <v>1</v>
      </c>
      <c r="Z370" s="5" t="s">
        <v>44</v>
      </c>
      <c r="AA370" s="5" t="s">
        <v>46</v>
      </c>
      <c r="AB370" s="5" t="s">
        <v>46</v>
      </c>
    </row>
    <row r="371" spans="1:28" x14ac:dyDescent="0.35">
      <c r="A371" s="8" t="s">
        <v>1477</v>
      </c>
      <c r="B371" s="5" t="s">
        <v>444</v>
      </c>
      <c r="C371">
        <v>1968</v>
      </c>
      <c r="D371">
        <f t="shared" ca="1" si="11"/>
        <v>57</v>
      </c>
      <c r="E371" s="5" t="s">
        <v>6</v>
      </c>
      <c r="F371" t="s">
        <v>54</v>
      </c>
      <c r="G371" t="str">
        <f t="shared" si="10"/>
        <v>1.000.000–2.000.000</v>
      </c>
      <c r="H371" t="s">
        <v>139</v>
      </c>
      <c r="I371">
        <v>0</v>
      </c>
      <c r="J371" t="s">
        <v>8</v>
      </c>
      <c r="K371" s="5" t="s">
        <v>114</v>
      </c>
      <c r="L371" s="5" t="s">
        <v>11</v>
      </c>
      <c r="M371" s="5" t="s">
        <v>57</v>
      </c>
      <c r="N371" s="5" t="s">
        <v>58</v>
      </c>
      <c r="O371" s="5" t="s">
        <v>42</v>
      </c>
      <c r="P371" s="5" t="s">
        <v>15</v>
      </c>
      <c r="Q371" s="5" t="s">
        <v>17</v>
      </c>
      <c r="R371" s="5" t="s">
        <v>43</v>
      </c>
      <c r="S371" s="5" t="s">
        <v>21</v>
      </c>
      <c r="T371" s="6" t="s">
        <v>84</v>
      </c>
      <c r="U371" s="6">
        <v>1</v>
      </c>
      <c r="V371" s="6" t="s">
        <v>26</v>
      </c>
      <c r="W371" s="6">
        <v>1</v>
      </c>
      <c r="X371" s="6" t="s">
        <v>46</v>
      </c>
      <c r="Y371">
        <v>0</v>
      </c>
      <c r="Z371" s="5" t="s">
        <v>46</v>
      </c>
      <c r="AA371" s="5" t="s">
        <v>46</v>
      </c>
      <c r="AB371" s="5" t="s">
        <v>46</v>
      </c>
    </row>
    <row r="372" spans="1:28" x14ac:dyDescent="0.35">
      <c r="A372" s="8" t="s">
        <v>1478</v>
      </c>
      <c r="B372" s="5" t="s">
        <v>445</v>
      </c>
      <c r="C372">
        <v>1983</v>
      </c>
      <c r="D372">
        <f t="shared" ca="1" si="11"/>
        <v>42</v>
      </c>
      <c r="E372" s="5" t="s">
        <v>28</v>
      </c>
      <c r="F372" t="s">
        <v>29</v>
      </c>
      <c r="G372" t="str">
        <f t="shared" si="10"/>
        <v>&lt;500.000</v>
      </c>
      <c r="H372" t="s">
        <v>30</v>
      </c>
      <c r="I372">
        <v>0</v>
      </c>
      <c r="J372" t="s">
        <v>8</v>
      </c>
      <c r="K372" s="5" t="s">
        <v>114</v>
      </c>
      <c r="L372" s="5" t="s">
        <v>11</v>
      </c>
      <c r="M372" s="5" t="s">
        <v>57</v>
      </c>
      <c r="N372" s="5" t="s">
        <v>58</v>
      </c>
      <c r="O372" s="5" t="s">
        <v>42</v>
      </c>
      <c r="P372" s="5" t="s">
        <v>15</v>
      </c>
      <c r="Q372" s="5" t="s">
        <v>17</v>
      </c>
      <c r="R372" s="5" t="s">
        <v>43</v>
      </c>
      <c r="S372" s="5" t="s">
        <v>21</v>
      </c>
      <c r="T372" s="6" t="s">
        <v>84</v>
      </c>
      <c r="U372" s="6">
        <v>1</v>
      </c>
      <c r="V372" s="6" t="s">
        <v>26</v>
      </c>
      <c r="W372" s="6">
        <v>1</v>
      </c>
      <c r="X372" s="6" t="s">
        <v>46</v>
      </c>
      <c r="Y372">
        <v>0</v>
      </c>
      <c r="Z372" s="5" t="s">
        <v>46</v>
      </c>
      <c r="AA372" s="5" t="s">
        <v>46</v>
      </c>
      <c r="AB372" s="5" t="s">
        <v>46</v>
      </c>
    </row>
    <row r="373" spans="1:28" x14ac:dyDescent="0.35">
      <c r="A373" s="8" t="s">
        <v>1479</v>
      </c>
      <c r="B373" s="5" t="s">
        <v>446</v>
      </c>
      <c r="C373">
        <v>1974</v>
      </c>
      <c r="D373">
        <f t="shared" ca="1" si="11"/>
        <v>51</v>
      </c>
      <c r="E373" s="5" t="s">
        <v>6</v>
      </c>
      <c r="F373" t="s">
        <v>54</v>
      </c>
      <c r="G373" t="str">
        <f t="shared" si="10"/>
        <v>1.000.000–2.000.000</v>
      </c>
      <c r="H373" t="s">
        <v>139</v>
      </c>
      <c r="I373">
        <v>2</v>
      </c>
      <c r="J373" t="s">
        <v>8</v>
      </c>
      <c r="K373" s="5" t="s">
        <v>38</v>
      </c>
      <c r="L373" s="5" t="s">
        <v>11</v>
      </c>
      <c r="M373" s="5" t="s">
        <v>57</v>
      </c>
      <c r="N373" s="5" t="s">
        <v>58</v>
      </c>
      <c r="O373" s="5" t="s">
        <v>42</v>
      </c>
      <c r="P373" s="5" t="s">
        <v>15</v>
      </c>
      <c r="Q373" s="5" t="s">
        <v>17</v>
      </c>
      <c r="R373" s="5" t="s">
        <v>43</v>
      </c>
      <c r="S373" s="5" t="s">
        <v>21</v>
      </c>
      <c r="T373" s="6" t="s">
        <v>23</v>
      </c>
      <c r="U373" s="6">
        <v>1</v>
      </c>
      <c r="V373" s="6" t="s">
        <v>26</v>
      </c>
      <c r="W373" s="6">
        <v>1</v>
      </c>
      <c r="X373" s="6" t="s">
        <v>46</v>
      </c>
      <c r="Y373">
        <v>2</v>
      </c>
      <c r="Z373" s="5" t="s">
        <v>46</v>
      </c>
      <c r="AA373" s="5" t="s">
        <v>46</v>
      </c>
      <c r="AB373" s="5" t="s">
        <v>46</v>
      </c>
    </row>
    <row r="374" spans="1:28" x14ac:dyDescent="0.35">
      <c r="A374" s="8" t="s">
        <v>1480</v>
      </c>
      <c r="B374" s="5" t="s">
        <v>447</v>
      </c>
      <c r="C374">
        <v>1990</v>
      </c>
      <c r="D374">
        <f t="shared" ca="1" si="11"/>
        <v>35</v>
      </c>
      <c r="E374" s="5" t="s">
        <v>28</v>
      </c>
      <c r="F374" t="s">
        <v>29</v>
      </c>
      <c r="G374" t="str">
        <f t="shared" si="10"/>
        <v>500.000–1.000.000</v>
      </c>
      <c r="H374" t="s">
        <v>7</v>
      </c>
      <c r="I374">
        <v>2</v>
      </c>
      <c r="J374" t="s">
        <v>8</v>
      </c>
      <c r="K374" s="5" t="s">
        <v>38</v>
      </c>
      <c r="L374" s="5" t="s">
        <v>11</v>
      </c>
      <c r="M374" s="5" t="s">
        <v>57</v>
      </c>
      <c r="N374" s="5" t="s">
        <v>58</v>
      </c>
      <c r="O374" s="5" t="s">
        <v>42</v>
      </c>
      <c r="P374" s="5" t="s">
        <v>15</v>
      </c>
      <c r="Q374" s="5" t="s">
        <v>17</v>
      </c>
      <c r="R374" s="5" t="s">
        <v>43</v>
      </c>
      <c r="S374" s="5" t="s">
        <v>21</v>
      </c>
      <c r="T374" s="6" t="s">
        <v>23</v>
      </c>
      <c r="U374" s="6">
        <v>1</v>
      </c>
      <c r="V374" s="6" t="s">
        <v>26</v>
      </c>
      <c r="W374" s="6">
        <v>1</v>
      </c>
      <c r="X374" s="6" t="s">
        <v>46</v>
      </c>
      <c r="Y374">
        <v>2</v>
      </c>
      <c r="Z374" s="5" t="s">
        <v>46</v>
      </c>
      <c r="AA374" s="5" t="s">
        <v>46</v>
      </c>
      <c r="AB374" s="5" t="s">
        <v>46</v>
      </c>
    </row>
    <row r="375" spans="1:28" x14ac:dyDescent="0.35">
      <c r="A375" s="8" t="s">
        <v>1481</v>
      </c>
      <c r="B375" s="5" t="s">
        <v>448</v>
      </c>
      <c r="C375">
        <v>1956</v>
      </c>
      <c r="D375">
        <f t="shared" ca="1" si="11"/>
        <v>69</v>
      </c>
      <c r="E375" s="5" t="s">
        <v>6</v>
      </c>
      <c r="F375" t="s">
        <v>54</v>
      </c>
      <c r="G375" t="str">
        <f t="shared" si="10"/>
        <v>500.000–1.000.000</v>
      </c>
      <c r="H375" t="s">
        <v>30</v>
      </c>
      <c r="I375">
        <v>0</v>
      </c>
      <c r="J375" t="s">
        <v>8</v>
      </c>
      <c r="K375" s="5" t="s">
        <v>38</v>
      </c>
      <c r="L375" s="5" t="s">
        <v>11</v>
      </c>
      <c r="M375" s="5" t="s">
        <v>40</v>
      </c>
      <c r="N375" s="5" t="s">
        <v>37</v>
      </c>
      <c r="O375" s="5" t="s">
        <v>42</v>
      </c>
      <c r="P375" s="5" t="s">
        <v>15</v>
      </c>
      <c r="Q375" s="5" t="s">
        <v>17</v>
      </c>
      <c r="R375" s="5" t="s">
        <v>87</v>
      </c>
      <c r="S375" s="5" t="s">
        <v>21</v>
      </c>
      <c r="T375" s="6" t="s">
        <v>23</v>
      </c>
      <c r="U375" s="6">
        <v>1</v>
      </c>
      <c r="V375" s="6" t="s">
        <v>117</v>
      </c>
      <c r="W375" s="6">
        <v>1</v>
      </c>
      <c r="X375" s="6" t="s">
        <v>46</v>
      </c>
      <c r="Y375">
        <v>0</v>
      </c>
      <c r="Z375" s="5" t="s">
        <v>46</v>
      </c>
      <c r="AA375" s="5" t="s">
        <v>64</v>
      </c>
      <c r="AB375" s="5" t="s">
        <v>35</v>
      </c>
    </row>
    <row r="376" spans="1:28" x14ac:dyDescent="0.35">
      <c r="A376" s="8" t="s">
        <v>1482</v>
      </c>
      <c r="B376" s="5" t="s">
        <v>449</v>
      </c>
      <c r="C376">
        <v>1963</v>
      </c>
      <c r="D376">
        <f t="shared" ca="1" si="11"/>
        <v>62</v>
      </c>
      <c r="E376" s="5" t="s">
        <v>28</v>
      </c>
      <c r="F376" t="s">
        <v>29</v>
      </c>
      <c r="G376" t="str">
        <f t="shared" si="10"/>
        <v>&lt;500.000</v>
      </c>
      <c r="H376" t="s">
        <v>30</v>
      </c>
      <c r="I376">
        <v>0</v>
      </c>
      <c r="J376" t="s">
        <v>8</v>
      </c>
      <c r="K376" s="5" t="s">
        <v>38</v>
      </c>
      <c r="L376" s="5" t="s">
        <v>11</v>
      </c>
      <c r="M376" s="5" t="s">
        <v>40</v>
      </c>
      <c r="N376" s="5" t="s">
        <v>37</v>
      </c>
      <c r="O376" s="5" t="s">
        <v>42</v>
      </c>
      <c r="P376" s="5" t="s">
        <v>15</v>
      </c>
      <c r="Q376" s="5" t="s">
        <v>17</v>
      </c>
      <c r="R376" s="5" t="s">
        <v>87</v>
      </c>
      <c r="S376" s="5" t="s">
        <v>21</v>
      </c>
      <c r="T376" s="6" t="s">
        <v>23</v>
      </c>
      <c r="U376" s="6">
        <v>1</v>
      </c>
      <c r="V376" s="6" t="s">
        <v>117</v>
      </c>
      <c r="W376" s="6">
        <v>1</v>
      </c>
      <c r="X376" s="6" t="s">
        <v>46</v>
      </c>
      <c r="Y376">
        <v>0</v>
      </c>
      <c r="Z376" s="5" t="s">
        <v>46</v>
      </c>
      <c r="AA376" s="5" t="s">
        <v>64</v>
      </c>
      <c r="AB376" s="5" t="s">
        <v>35</v>
      </c>
    </row>
    <row r="377" spans="1:28" x14ac:dyDescent="0.35">
      <c r="A377" s="8" t="s">
        <v>1483</v>
      </c>
      <c r="B377" s="5" t="s">
        <v>450</v>
      </c>
      <c r="C377">
        <v>2003</v>
      </c>
      <c r="D377">
        <f t="shared" ca="1" si="11"/>
        <v>22</v>
      </c>
      <c r="E377" s="5" t="s">
        <v>6</v>
      </c>
      <c r="F377" t="s">
        <v>55</v>
      </c>
      <c r="G377" t="str">
        <f t="shared" si="10"/>
        <v>500.000–1.000.000</v>
      </c>
      <c r="H377" t="s">
        <v>7</v>
      </c>
      <c r="I377">
        <v>0</v>
      </c>
      <c r="J377" t="s">
        <v>8</v>
      </c>
      <c r="K377" s="5" t="s">
        <v>38</v>
      </c>
      <c r="L377" s="5" t="s">
        <v>11</v>
      </c>
      <c r="M377" s="5" t="s">
        <v>57</v>
      </c>
      <c r="N377" s="5" t="s">
        <v>58</v>
      </c>
      <c r="O377" s="5" t="s">
        <v>89</v>
      </c>
      <c r="P377" s="5" t="s">
        <v>15</v>
      </c>
      <c r="Q377" s="5" t="s">
        <v>17</v>
      </c>
      <c r="R377" s="5" t="s">
        <v>43</v>
      </c>
      <c r="S377" s="5" t="s">
        <v>21</v>
      </c>
      <c r="T377" s="6" t="s">
        <v>73</v>
      </c>
      <c r="U377" s="6">
        <v>0</v>
      </c>
      <c r="V377" s="6" t="s">
        <v>73</v>
      </c>
      <c r="W377" s="6">
        <v>0</v>
      </c>
      <c r="X377" s="6" t="s">
        <v>46</v>
      </c>
      <c r="Y377">
        <v>0</v>
      </c>
      <c r="Z377" s="5" t="s">
        <v>46</v>
      </c>
      <c r="AA377" s="5" t="s">
        <v>46</v>
      </c>
      <c r="AB377" s="5" t="s">
        <v>46</v>
      </c>
    </row>
    <row r="378" spans="1:28" x14ac:dyDescent="0.35">
      <c r="A378" s="8" t="s">
        <v>1484</v>
      </c>
      <c r="B378" s="5" t="s">
        <v>451</v>
      </c>
      <c r="C378">
        <v>2003</v>
      </c>
      <c r="D378">
        <f t="shared" ca="1" si="11"/>
        <v>22</v>
      </c>
      <c r="E378" s="5" t="s">
        <v>28</v>
      </c>
      <c r="F378" t="s">
        <v>29</v>
      </c>
      <c r="G378" t="str">
        <f t="shared" si="10"/>
        <v>500.000–1.000.000</v>
      </c>
      <c r="H378" t="s">
        <v>139</v>
      </c>
      <c r="I378">
        <v>0</v>
      </c>
      <c r="J378" t="s">
        <v>8</v>
      </c>
      <c r="K378" s="5" t="s">
        <v>38</v>
      </c>
      <c r="L378" s="5" t="s">
        <v>11</v>
      </c>
      <c r="M378" s="5" t="s">
        <v>57</v>
      </c>
      <c r="N378" s="5" t="s">
        <v>58</v>
      </c>
      <c r="O378" s="5" t="s">
        <v>89</v>
      </c>
      <c r="P378" s="5" t="s">
        <v>15</v>
      </c>
      <c r="Q378" s="5" t="s">
        <v>17</v>
      </c>
      <c r="R378" s="5" t="s">
        <v>43</v>
      </c>
      <c r="S378" s="5" t="s">
        <v>21</v>
      </c>
      <c r="T378" s="6" t="s">
        <v>73</v>
      </c>
      <c r="U378" s="6">
        <v>0</v>
      </c>
      <c r="V378" s="6" t="s">
        <v>73</v>
      </c>
      <c r="W378" s="6">
        <v>0</v>
      </c>
      <c r="X378" s="6" t="s">
        <v>46</v>
      </c>
      <c r="Y378">
        <v>0</v>
      </c>
      <c r="Z378" s="5" t="s">
        <v>46</v>
      </c>
      <c r="AA378" s="5" t="s">
        <v>46</v>
      </c>
      <c r="AB378" s="5" t="s">
        <v>46</v>
      </c>
    </row>
    <row r="379" spans="1:28" x14ac:dyDescent="0.35">
      <c r="A379" s="8" t="s">
        <v>1485</v>
      </c>
      <c r="B379" s="5" t="s">
        <v>452</v>
      </c>
      <c r="C379">
        <v>1984</v>
      </c>
      <c r="D379">
        <f t="shared" ca="1" si="11"/>
        <v>41</v>
      </c>
      <c r="E379" s="5" t="s">
        <v>6</v>
      </c>
      <c r="F379" t="s">
        <v>54</v>
      </c>
      <c r="G379" t="str">
        <f t="shared" si="10"/>
        <v>1.000.000–2.000.000</v>
      </c>
      <c r="H379" t="s">
        <v>139</v>
      </c>
      <c r="I379">
        <v>3</v>
      </c>
      <c r="J379" t="s">
        <v>8</v>
      </c>
      <c r="K379" s="5" t="s">
        <v>114</v>
      </c>
      <c r="L379" s="5" t="s">
        <v>11</v>
      </c>
      <c r="M379" s="5" t="s">
        <v>57</v>
      </c>
      <c r="N379" s="5" t="s">
        <v>58</v>
      </c>
      <c r="O379" s="5" t="s">
        <v>42</v>
      </c>
      <c r="P379" s="5" t="s">
        <v>15</v>
      </c>
      <c r="Q379" s="5" t="s">
        <v>17</v>
      </c>
      <c r="R379" s="5" t="s">
        <v>43</v>
      </c>
      <c r="S379" s="5" t="s">
        <v>21</v>
      </c>
      <c r="T379" s="6" t="s">
        <v>23</v>
      </c>
      <c r="U379" s="6">
        <v>1</v>
      </c>
      <c r="V379" s="6" t="s">
        <v>26</v>
      </c>
      <c r="W379" s="6">
        <v>1</v>
      </c>
      <c r="X379" s="6" t="s">
        <v>46</v>
      </c>
      <c r="Y379">
        <v>3</v>
      </c>
      <c r="Z379" s="5" t="s">
        <v>46</v>
      </c>
      <c r="AA379" s="5" t="s">
        <v>46</v>
      </c>
      <c r="AB379" s="5" t="s">
        <v>46</v>
      </c>
    </row>
    <row r="380" spans="1:28" x14ac:dyDescent="0.35">
      <c r="A380" s="8" t="s">
        <v>1486</v>
      </c>
      <c r="B380" s="5" t="s">
        <v>453</v>
      </c>
      <c r="C380">
        <v>1977</v>
      </c>
      <c r="D380">
        <f t="shared" ca="1" si="11"/>
        <v>48</v>
      </c>
      <c r="E380" s="5" t="s">
        <v>28</v>
      </c>
      <c r="F380" t="s">
        <v>29</v>
      </c>
      <c r="G380" t="str">
        <f t="shared" si="10"/>
        <v>500.000–1.000.000</v>
      </c>
      <c r="H380" t="s">
        <v>139</v>
      </c>
      <c r="I380">
        <v>3</v>
      </c>
      <c r="J380" t="s">
        <v>8</v>
      </c>
      <c r="K380" s="5" t="s">
        <v>114</v>
      </c>
      <c r="L380" s="5" t="s">
        <v>11</v>
      </c>
      <c r="M380" s="5" t="s">
        <v>57</v>
      </c>
      <c r="N380" s="5" t="s">
        <v>58</v>
      </c>
      <c r="O380" s="5" t="s">
        <v>42</v>
      </c>
      <c r="P380" s="5" t="s">
        <v>15</v>
      </c>
      <c r="Q380" s="5" t="s">
        <v>17</v>
      </c>
      <c r="R380" s="5" t="s">
        <v>43</v>
      </c>
      <c r="S380" s="5" t="s">
        <v>21</v>
      </c>
      <c r="T380" s="6" t="s">
        <v>23</v>
      </c>
      <c r="U380" s="6">
        <v>1</v>
      </c>
      <c r="V380" s="6" t="s">
        <v>26</v>
      </c>
      <c r="W380" s="6">
        <v>1</v>
      </c>
      <c r="X380" s="6" t="s">
        <v>46</v>
      </c>
      <c r="Y380">
        <v>3</v>
      </c>
      <c r="Z380" s="5" t="s">
        <v>46</v>
      </c>
      <c r="AA380" s="5" t="s">
        <v>46</v>
      </c>
      <c r="AB380" s="5" t="s">
        <v>46</v>
      </c>
    </row>
    <row r="381" spans="1:28" x14ac:dyDescent="0.35">
      <c r="A381" s="8" t="s">
        <v>1487</v>
      </c>
      <c r="B381" s="5" t="s">
        <v>454</v>
      </c>
      <c r="C381">
        <v>1974</v>
      </c>
      <c r="D381">
        <f t="shared" ca="1" si="11"/>
        <v>51</v>
      </c>
      <c r="E381" s="5" t="s">
        <v>6</v>
      </c>
      <c r="F381" t="s">
        <v>29</v>
      </c>
      <c r="G381" t="str">
        <f t="shared" si="10"/>
        <v>&lt;500.000</v>
      </c>
      <c r="H381" t="s">
        <v>63</v>
      </c>
      <c r="I381">
        <v>4</v>
      </c>
      <c r="J381" t="s">
        <v>8</v>
      </c>
      <c r="K381" s="5" t="s">
        <v>114</v>
      </c>
      <c r="L381" s="5" t="s">
        <v>11</v>
      </c>
      <c r="M381" s="5" t="s">
        <v>57</v>
      </c>
      <c r="N381" s="5" t="s">
        <v>58</v>
      </c>
      <c r="O381" s="5" t="s">
        <v>89</v>
      </c>
      <c r="P381" s="5" t="s">
        <v>15</v>
      </c>
      <c r="Q381" s="5" t="s">
        <v>17</v>
      </c>
      <c r="R381" s="5" t="s">
        <v>43</v>
      </c>
      <c r="S381" s="5" t="s">
        <v>21</v>
      </c>
      <c r="T381" s="6" t="s">
        <v>73</v>
      </c>
      <c r="U381" s="6">
        <v>0</v>
      </c>
      <c r="V381" s="6" t="s">
        <v>73</v>
      </c>
      <c r="W381" s="6">
        <v>0</v>
      </c>
      <c r="X381" s="6" t="s">
        <v>46</v>
      </c>
      <c r="Y381">
        <v>2</v>
      </c>
      <c r="Z381" s="5" t="s">
        <v>46</v>
      </c>
      <c r="AA381" s="5" t="s">
        <v>46</v>
      </c>
      <c r="AB381" s="5" t="s">
        <v>46</v>
      </c>
    </row>
    <row r="382" spans="1:28" x14ac:dyDescent="0.35">
      <c r="A382" s="8" t="s">
        <v>1488</v>
      </c>
      <c r="B382" s="5" t="s">
        <v>455</v>
      </c>
      <c r="C382">
        <v>1983</v>
      </c>
      <c r="D382">
        <f t="shared" ca="1" si="11"/>
        <v>42</v>
      </c>
      <c r="E382" s="5" t="s">
        <v>28</v>
      </c>
      <c r="F382" t="s">
        <v>29</v>
      </c>
      <c r="G382" t="str">
        <f t="shared" si="10"/>
        <v>&lt;500.000</v>
      </c>
      <c r="H382" t="s">
        <v>63</v>
      </c>
      <c r="I382">
        <v>4</v>
      </c>
      <c r="J382" t="s">
        <v>8</v>
      </c>
      <c r="K382" s="5" t="s">
        <v>114</v>
      </c>
      <c r="L382" s="5" t="s">
        <v>11</v>
      </c>
      <c r="M382" s="5" t="s">
        <v>57</v>
      </c>
      <c r="N382" s="5" t="s">
        <v>58</v>
      </c>
      <c r="O382" s="5" t="s">
        <v>89</v>
      </c>
      <c r="P382" s="5" t="s">
        <v>15</v>
      </c>
      <c r="Q382" s="5" t="s">
        <v>17</v>
      </c>
      <c r="R382" s="5" t="s">
        <v>43</v>
      </c>
      <c r="S382" s="5" t="s">
        <v>21</v>
      </c>
      <c r="T382" s="6" t="s">
        <v>73</v>
      </c>
      <c r="U382" s="6">
        <v>0</v>
      </c>
      <c r="V382" s="6" t="s">
        <v>73</v>
      </c>
      <c r="W382" s="6">
        <v>0</v>
      </c>
      <c r="X382" s="6" t="s">
        <v>46</v>
      </c>
      <c r="Y382">
        <v>2</v>
      </c>
      <c r="Z382" s="5" t="s">
        <v>46</v>
      </c>
      <c r="AA382" s="5" t="s">
        <v>46</v>
      </c>
      <c r="AB382" s="5" t="s">
        <v>46</v>
      </c>
    </row>
    <row r="383" spans="1:28" x14ac:dyDescent="0.35">
      <c r="A383" s="8" t="s">
        <v>1489</v>
      </c>
      <c r="B383" s="5" t="s">
        <v>456</v>
      </c>
      <c r="C383">
        <v>1972</v>
      </c>
      <c r="D383">
        <f t="shared" ca="1" si="11"/>
        <v>53</v>
      </c>
      <c r="E383" s="5" t="s">
        <v>6</v>
      </c>
      <c r="F383" t="s">
        <v>151</v>
      </c>
      <c r="G383" t="str">
        <f t="shared" si="10"/>
        <v>500.000–1.000.000</v>
      </c>
      <c r="H383" t="s">
        <v>7</v>
      </c>
      <c r="I383">
        <v>2</v>
      </c>
      <c r="J383" t="s">
        <v>48</v>
      </c>
      <c r="K383" s="5" t="s">
        <v>38</v>
      </c>
      <c r="L383" s="5" t="s">
        <v>49</v>
      </c>
      <c r="M383" s="5" t="s">
        <v>57</v>
      </c>
      <c r="N383" s="5" t="s">
        <v>58</v>
      </c>
      <c r="O383" s="5" t="s">
        <v>42</v>
      </c>
      <c r="P383" s="5" t="s">
        <v>15</v>
      </c>
      <c r="Q383" s="5" t="s">
        <v>17</v>
      </c>
      <c r="R383" s="5" t="s">
        <v>43</v>
      </c>
      <c r="S383" s="5" t="s">
        <v>21</v>
      </c>
      <c r="T383" s="6" t="s">
        <v>23</v>
      </c>
      <c r="U383" s="6">
        <v>1</v>
      </c>
      <c r="V383" s="6" t="s">
        <v>26</v>
      </c>
      <c r="W383" s="6">
        <v>1</v>
      </c>
      <c r="X383" s="6" t="s">
        <v>46</v>
      </c>
      <c r="Y383">
        <v>1</v>
      </c>
      <c r="Z383" s="5" t="s">
        <v>46</v>
      </c>
      <c r="AA383" s="5" t="s">
        <v>46</v>
      </c>
      <c r="AB383" s="5" t="s">
        <v>46</v>
      </c>
    </row>
    <row r="384" spans="1:28" x14ac:dyDescent="0.35">
      <c r="A384" s="8" t="s">
        <v>1490</v>
      </c>
      <c r="B384" s="5" t="s">
        <v>457</v>
      </c>
      <c r="C384">
        <v>1977</v>
      </c>
      <c r="D384">
        <f t="shared" ca="1" si="11"/>
        <v>48</v>
      </c>
      <c r="E384" s="5" t="s">
        <v>28</v>
      </c>
      <c r="F384" t="s">
        <v>29</v>
      </c>
      <c r="G384" t="str">
        <f t="shared" si="10"/>
        <v>500.000–1.000.000</v>
      </c>
      <c r="H384" t="s">
        <v>7</v>
      </c>
      <c r="I384">
        <v>2</v>
      </c>
      <c r="J384" t="s">
        <v>48</v>
      </c>
      <c r="K384" s="5" t="s">
        <v>38</v>
      </c>
      <c r="L384" s="5" t="s">
        <v>49</v>
      </c>
      <c r="M384" s="5" t="s">
        <v>57</v>
      </c>
      <c r="N384" s="5" t="s">
        <v>58</v>
      </c>
      <c r="O384" s="5" t="s">
        <v>42</v>
      </c>
      <c r="P384" s="5" t="s">
        <v>15</v>
      </c>
      <c r="Q384" s="5" t="s">
        <v>17</v>
      </c>
      <c r="R384" s="5" t="s">
        <v>43</v>
      </c>
      <c r="S384" s="5" t="s">
        <v>21</v>
      </c>
      <c r="T384" s="6" t="s">
        <v>23</v>
      </c>
      <c r="U384" s="6">
        <v>1</v>
      </c>
      <c r="V384" s="6" t="s">
        <v>26</v>
      </c>
      <c r="W384" s="6">
        <v>1</v>
      </c>
      <c r="X384" s="6" t="s">
        <v>46</v>
      </c>
      <c r="Y384">
        <v>1</v>
      </c>
      <c r="Z384" s="5" t="s">
        <v>46</v>
      </c>
      <c r="AA384" s="5" t="s">
        <v>46</v>
      </c>
      <c r="AB384" s="5" t="s">
        <v>74</v>
      </c>
    </row>
    <row r="385" spans="1:28" x14ac:dyDescent="0.35">
      <c r="A385" s="8" t="s">
        <v>1491</v>
      </c>
      <c r="B385" s="5" t="s">
        <v>458</v>
      </c>
      <c r="C385">
        <v>1975</v>
      </c>
      <c r="D385">
        <f t="shared" ca="1" si="11"/>
        <v>50</v>
      </c>
      <c r="E385" s="5" t="s">
        <v>6</v>
      </c>
      <c r="F385" t="s">
        <v>137</v>
      </c>
      <c r="G385" t="str">
        <f t="shared" ref="G385:G448" si="12">IF(OR(
    F385="Tidak bekerja",
    F385="Pekerja keluarga/Tidak dibayar"),
    IF(OR(H385="Tidak Sekolah", H385="SD"), "&lt;500.000", "500.000–1.000.000"),
IF(OR(
    F385="Pekerja Bebas Pertanian",
    F385="Pekerja Bebas non-Pertanian"),
    IF(OR(H385="Tidak Sekolah", H385="SD", H385="SMP"), "500.000–1.000.000", "1.000.000–2.000.000"),
IF(F385="Buruh/Karyawan/Pegawai Swasta",
    IF(OR(H385="SD", H385="SMP"), "500.000–1.000.000",
       IF(OR(H385="SMA/SMK", H385="D1/2/3"), "1.000.000–2.000.000", "2.000.000–3.000.000")
    ),
IF(F385="Berusaha Sendiri",
    IF(OR(H385="SD", H385="SMP"), "500.000–1.000.000", "1.000.000–2.000.000"),
IF(F385="Berusaha dibantu buruh tidak tetap/Tidak dibayar", "1.000.000–2.000.000",
IF(F385="Berusaha dibantu buruh tetap/Dibayar", "2.000.000–3.000.000",
IF(F385="PNS/TNI/Polri/BUMN/BUMD/Anggota Legislatif", "2.000.000–3.000.000",
""
)))))))</f>
        <v>500.000–1.000.000</v>
      </c>
      <c r="H385" t="s">
        <v>7</v>
      </c>
      <c r="I385">
        <v>1</v>
      </c>
      <c r="J385" t="s">
        <v>8</v>
      </c>
      <c r="K385" s="5" t="s">
        <v>114</v>
      </c>
      <c r="L385" s="5" t="s">
        <v>11</v>
      </c>
      <c r="M385" s="5" t="s">
        <v>57</v>
      </c>
      <c r="N385" s="5" t="s">
        <v>58</v>
      </c>
      <c r="O385" s="5" t="s">
        <v>42</v>
      </c>
      <c r="P385" s="5" t="s">
        <v>15</v>
      </c>
      <c r="Q385" s="5" t="s">
        <v>17</v>
      </c>
      <c r="R385" s="5" t="s">
        <v>43</v>
      </c>
      <c r="S385" s="5" t="s">
        <v>21</v>
      </c>
      <c r="T385" s="6" t="s">
        <v>23</v>
      </c>
      <c r="U385" s="6">
        <v>1</v>
      </c>
      <c r="V385" s="6" t="s">
        <v>181</v>
      </c>
      <c r="W385" s="6">
        <v>1</v>
      </c>
      <c r="X385" s="6" t="s">
        <v>46</v>
      </c>
      <c r="Y385">
        <v>1</v>
      </c>
      <c r="Z385" s="5" t="s">
        <v>46</v>
      </c>
      <c r="AA385" s="5" t="s">
        <v>46</v>
      </c>
      <c r="AB385" s="5" t="s">
        <v>74</v>
      </c>
    </row>
    <row r="386" spans="1:28" x14ac:dyDescent="0.35">
      <c r="A386" s="8" t="s">
        <v>1492</v>
      </c>
      <c r="B386" s="5" t="s">
        <v>459</v>
      </c>
      <c r="C386">
        <v>1979</v>
      </c>
      <c r="D386">
        <f t="shared" ca="1" si="11"/>
        <v>46</v>
      </c>
      <c r="E386" s="5" t="s">
        <v>28</v>
      </c>
      <c r="F386" t="s">
        <v>162</v>
      </c>
      <c r="G386" t="str">
        <f t="shared" si="12"/>
        <v>1.000.000–2.000.000</v>
      </c>
      <c r="H386" t="s">
        <v>7</v>
      </c>
      <c r="I386">
        <v>1</v>
      </c>
      <c r="J386" t="s">
        <v>8</v>
      </c>
      <c r="K386" s="5" t="s">
        <v>114</v>
      </c>
      <c r="L386" s="5" t="s">
        <v>11</v>
      </c>
      <c r="M386" s="5" t="s">
        <v>57</v>
      </c>
      <c r="N386" s="5" t="s">
        <v>58</v>
      </c>
      <c r="O386" s="5" t="s">
        <v>42</v>
      </c>
      <c r="P386" s="5" t="s">
        <v>15</v>
      </c>
      <c r="Q386" s="5" t="s">
        <v>17</v>
      </c>
      <c r="R386" s="5" t="s">
        <v>43</v>
      </c>
      <c r="S386" s="5" t="s">
        <v>21</v>
      </c>
      <c r="T386" s="6" t="s">
        <v>23</v>
      </c>
      <c r="U386" s="6">
        <v>1</v>
      </c>
      <c r="V386" s="6" t="s">
        <v>181</v>
      </c>
      <c r="W386" s="6">
        <v>1</v>
      </c>
      <c r="X386" s="6" t="s">
        <v>46</v>
      </c>
      <c r="Y386">
        <v>1</v>
      </c>
      <c r="Z386" s="5" t="s">
        <v>46</v>
      </c>
      <c r="AA386" s="5" t="s">
        <v>46</v>
      </c>
      <c r="AB386" s="5" t="s">
        <v>74</v>
      </c>
    </row>
    <row r="387" spans="1:28" x14ac:dyDescent="0.35">
      <c r="A387" s="8" t="s">
        <v>1493</v>
      </c>
      <c r="B387" s="5" t="s">
        <v>460</v>
      </c>
      <c r="C387">
        <v>1982</v>
      </c>
      <c r="D387">
        <f t="shared" ca="1" si="11"/>
        <v>43</v>
      </c>
      <c r="E387" s="5" t="s">
        <v>6</v>
      </c>
      <c r="F387" t="s">
        <v>29</v>
      </c>
      <c r="G387" t="str">
        <f t="shared" si="12"/>
        <v>&lt;500.000</v>
      </c>
      <c r="H387" t="s">
        <v>63</v>
      </c>
      <c r="I387">
        <v>3</v>
      </c>
      <c r="J387" t="s">
        <v>48</v>
      </c>
      <c r="K387" s="5" t="s">
        <v>38</v>
      </c>
      <c r="L387" s="5" t="s">
        <v>39</v>
      </c>
      <c r="M387" s="5" t="s">
        <v>40</v>
      </c>
      <c r="N387" s="5" t="s">
        <v>37</v>
      </c>
      <c r="O387" s="5" t="s">
        <v>42</v>
      </c>
      <c r="P387" s="5" t="s">
        <v>15</v>
      </c>
      <c r="Q387" s="5" t="s">
        <v>17</v>
      </c>
      <c r="R387" s="5" t="s">
        <v>43</v>
      </c>
      <c r="S387" s="5" t="s">
        <v>21</v>
      </c>
      <c r="T387" s="6" t="s">
        <v>23</v>
      </c>
      <c r="U387" s="6">
        <v>1</v>
      </c>
      <c r="V387" s="6" t="s">
        <v>26</v>
      </c>
      <c r="W387" s="6">
        <v>1</v>
      </c>
      <c r="X387" s="6" t="s">
        <v>46</v>
      </c>
      <c r="Y387">
        <v>2</v>
      </c>
      <c r="Z387" s="5" t="s">
        <v>44</v>
      </c>
      <c r="AA387" s="5" t="s">
        <v>46</v>
      </c>
      <c r="AB387" s="5" t="s">
        <v>46</v>
      </c>
    </row>
    <row r="388" spans="1:28" x14ac:dyDescent="0.35">
      <c r="A388" s="8" t="s">
        <v>1494</v>
      </c>
      <c r="B388" s="5" t="s">
        <v>461</v>
      </c>
      <c r="C388">
        <v>1986</v>
      </c>
      <c r="D388">
        <f t="shared" ca="1" si="11"/>
        <v>39</v>
      </c>
      <c r="E388" s="5" t="s">
        <v>28</v>
      </c>
      <c r="F388" t="s">
        <v>55</v>
      </c>
      <c r="G388" t="str">
        <f t="shared" si="12"/>
        <v>1.000.000–2.000.000</v>
      </c>
      <c r="H388" t="s">
        <v>139</v>
      </c>
      <c r="I388">
        <v>3</v>
      </c>
      <c r="J388" t="s">
        <v>48</v>
      </c>
      <c r="K388" s="5" t="s">
        <v>38</v>
      </c>
      <c r="L388" s="5" t="s">
        <v>39</v>
      </c>
      <c r="M388" s="5" t="s">
        <v>40</v>
      </c>
      <c r="N388" s="5" t="s">
        <v>37</v>
      </c>
      <c r="O388" s="5" t="s">
        <v>42</v>
      </c>
      <c r="P388" s="5" t="s">
        <v>15</v>
      </c>
      <c r="Q388" s="5" t="s">
        <v>17</v>
      </c>
      <c r="R388" s="5" t="s">
        <v>43</v>
      </c>
      <c r="S388" s="5" t="s">
        <v>21</v>
      </c>
      <c r="T388" s="6" t="s">
        <v>23</v>
      </c>
      <c r="U388" s="6">
        <v>1</v>
      </c>
      <c r="V388" s="6" t="s">
        <v>26</v>
      </c>
      <c r="W388" s="6">
        <v>1</v>
      </c>
      <c r="X388" s="6" t="s">
        <v>46</v>
      </c>
      <c r="Y388">
        <v>2</v>
      </c>
      <c r="Z388" s="5" t="s">
        <v>44</v>
      </c>
      <c r="AA388" s="5" t="s">
        <v>46</v>
      </c>
      <c r="AB388" s="5" t="s">
        <v>46</v>
      </c>
    </row>
    <row r="389" spans="1:28" x14ac:dyDescent="0.35">
      <c r="A389" s="8" t="s">
        <v>1495</v>
      </c>
      <c r="B389" s="5" t="s">
        <v>462</v>
      </c>
      <c r="C389">
        <v>1975</v>
      </c>
      <c r="D389">
        <f t="shared" ca="1" si="11"/>
        <v>50</v>
      </c>
      <c r="E389" s="5" t="s">
        <v>6</v>
      </c>
      <c r="F389" t="s">
        <v>29</v>
      </c>
      <c r="G389" t="str">
        <f t="shared" si="12"/>
        <v>500.000–1.000.000</v>
      </c>
      <c r="H389" t="s">
        <v>7</v>
      </c>
      <c r="I389">
        <v>3</v>
      </c>
      <c r="J389" t="s">
        <v>8</v>
      </c>
      <c r="K389" s="5" t="s">
        <v>38</v>
      </c>
      <c r="L389" s="5" t="s">
        <v>11</v>
      </c>
      <c r="M389" s="5" t="s">
        <v>57</v>
      </c>
      <c r="N389" s="5" t="s">
        <v>58</v>
      </c>
      <c r="O389" s="5" t="s">
        <v>42</v>
      </c>
      <c r="P389" s="5" t="s">
        <v>15</v>
      </c>
      <c r="Q389" s="5" t="s">
        <v>17</v>
      </c>
      <c r="R389" s="5" t="s">
        <v>43</v>
      </c>
      <c r="S389" s="5" t="s">
        <v>21</v>
      </c>
      <c r="T389" s="6" t="s">
        <v>23</v>
      </c>
      <c r="U389" s="6">
        <v>1</v>
      </c>
      <c r="V389" s="6" t="s">
        <v>26</v>
      </c>
      <c r="W389" s="6">
        <v>1</v>
      </c>
      <c r="X389" s="6" t="s">
        <v>46</v>
      </c>
      <c r="Y389">
        <v>3</v>
      </c>
      <c r="Z389" s="5" t="s">
        <v>46</v>
      </c>
      <c r="AA389" s="5" t="s">
        <v>46</v>
      </c>
      <c r="AB389" s="5" t="s">
        <v>35</v>
      </c>
    </row>
    <row r="390" spans="1:28" x14ac:dyDescent="0.35">
      <c r="A390" s="8" t="s">
        <v>1496</v>
      </c>
      <c r="B390" s="5" t="s">
        <v>463</v>
      </c>
      <c r="C390">
        <v>1984</v>
      </c>
      <c r="D390">
        <f t="shared" ca="1" si="11"/>
        <v>41</v>
      </c>
      <c r="E390" s="5" t="s">
        <v>28</v>
      </c>
      <c r="F390" t="s">
        <v>151</v>
      </c>
      <c r="G390" t="str">
        <f t="shared" si="12"/>
        <v>500.000–1.000.000</v>
      </c>
      <c r="H390" t="s">
        <v>7</v>
      </c>
      <c r="I390">
        <v>3</v>
      </c>
      <c r="J390" t="s">
        <v>8</v>
      </c>
      <c r="K390" s="5" t="s">
        <v>38</v>
      </c>
      <c r="L390" s="5" t="s">
        <v>11</v>
      </c>
      <c r="M390" s="5" t="s">
        <v>57</v>
      </c>
      <c r="N390" s="5" t="s">
        <v>58</v>
      </c>
      <c r="O390" s="5" t="s">
        <v>42</v>
      </c>
      <c r="P390" s="5" t="s">
        <v>15</v>
      </c>
      <c r="Q390" s="5" t="s">
        <v>17</v>
      </c>
      <c r="R390" s="5" t="s">
        <v>43</v>
      </c>
      <c r="S390" s="5" t="s">
        <v>21</v>
      </c>
      <c r="T390" s="6" t="s">
        <v>23</v>
      </c>
      <c r="U390" s="6">
        <v>1</v>
      </c>
      <c r="V390" s="6" t="s">
        <v>26</v>
      </c>
      <c r="W390" s="6">
        <v>1</v>
      </c>
      <c r="X390" s="6" t="s">
        <v>46</v>
      </c>
      <c r="Y390">
        <v>3</v>
      </c>
      <c r="Z390" s="5" t="s">
        <v>46</v>
      </c>
      <c r="AA390" s="5" t="s">
        <v>46</v>
      </c>
      <c r="AB390" s="5" t="s">
        <v>46</v>
      </c>
    </row>
    <row r="391" spans="1:28" x14ac:dyDescent="0.35">
      <c r="A391" s="8" t="s">
        <v>1497</v>
      </c>
      <c r="B391" s="5" t="s">
        <v>464</v>
      </c>
      <c r="C391">
        <v>1970</v>
      </c>
      <c r="D391">
        <f t="shared" ca="1" si="11"/>
        <v>55</v>
      </c>
      <c r="E391" s="5" t="s">
        <v>6</v>
      </c>
      <c r="F391" t="s">
        <v>137</v>
      </c>
      <c r="G391" t="str">
        <f t="shared" si="12"/>
        <v>1.000.000–2.000.000</v>
      </c>
      <c r="H391" t="s">
        <v>139</v>
      </c>
      <c r="I391">
        <v>1</v>
      </c>
      <c r="J391" t="s">
        <v>48</v>
      </c>
      <c r="K391" s="5" t="s">
        <v>114</v>
      </c>
      <c r="L391" s="5" t="s">
        <v>11</v>
      </c>
      <c r="M391" s="5" t="s">
        <v>57</v>
      </c>
      <c r="N391" s="5" t="s">
        <v>58</v>
      </c>
      <c r="O391" s="5" t="s">
        <v>42</v>
      </c>
      <c r="P391" s="5" t="s">
        <v>15</v>
      </c>
      <c r="Q391" s="5" t="s">
        <v>17</v>
      </c>
      <c r="R391" s="5" t="s">
        <v>43</v>
      </c>
      <c r="S391" s="5" t="s">
        <v>21</v>
      </c>
      <c r="T391" s="6" t="s">
        <v>23</v>
      </c>
      <c r="U391" s="6">
        <v>1</v>
      </c>
      <c r="V391" s="6" t="s">
        <v>26</v>
      </c>
      <c r="W391" s="6">
        <v>1</v>
      </c>
      <c r="X391" s="6" t="s">
        <v>46</v>
      </c>
      <c r="Y391">
        <v>0</v>
      </c>
      <c r="Z391" s="5" t="s">
        <v>46</v>
      </c>
      <c r="AA391" s="5" t="s">
        <v>46</v>
      </c>
      <c r="AB391" s="5" t="s">
        <v>74</v>
      </c>
    </row>
    <row r="392" spans="1:28" x14ac:dyDescent="0.35">
      <c r="A392" s="8" t="s">
        <v>1498</v>
      </c>
      <c r="B392" s="5" t="s">
        <v>465</v>
      </c>
      <c r="C392">
        <v>1972</v>
      </c>
      <c r="D392">
        <f t="shared" ca="1" si="11"/>
        <v>53</v>
      </c>
      <c r="E392" s="5" t="s">
        <v>28</v>
      </c>
      <c r="F392" t="s">
        <v>54</v>
      </c>
      <c r="G392" t="str">
        <f t="shared" si="12"/>
        <v>1.000.000–2.000.000</v>
      </c>
      <c r="H392" t="s">
        <v>139</v>
      </c>
      <c r="I392">
        <v>1</v>
      </c>
      <c r="J392" t="s">
        <v>48</v>
      </c>
      <c r="K392" s="5" t="s">
        <v>114</v>
      </c>
      <c r="L392" s="5" t="s">
        <v>11</v>
      </c>
      <c r="M392" s="5" t="s">
        <v>57</v>
      </c>
      <c r="N392" s="5" t="s">
        <v>58</v>
      </c>
      <c r="O392" s="5" t="s">
        <v>42</v>
      </c>
      <c r="P392" s="5" t="s">
        <v>15</v>
      </c>
      <c r="Q392" s="5" t="s">
        <v>17</v>
      </c>
      <c r="R392" s="5" t="s">
        <v>43</v>
      </c>
      <c r="S392" s="5" t="s">
        <v>21</v>
      </c>
      <c r="T392" s="6" t="s">
        <v>23</v>
      </c>
      <c r="U392" s="6">
        <v>1</v>
      </c>
      <c r="V392" s="6" t="s">
        <v>26</v>
      </c>
      <c r="W392" s="6">
        <v>1</v>
      </c>
      <c r="X392" s="6" t="s">
        <v>46</v>
      </c>
      <c r="Y392">
        <v>0</v>
      </c>
      <c r="Z392" s="5" t="s">
        <v>46</v>
      </c>
      <c r="AA392" s="5" t="s">
        <v>46</v>
      </c>
      <c r="AB392" s="5" t="s">
        <v>74</v>
      </c>
    </row>
    <row r="393" spans="1:28" x14ac:dyDescent="0.35">
      <c r="A393" s="8" t="s">
        <v>1499</v>
      </c>
      <c r="B393" s="5" t="s">
        <v>466</v>
      </c>
      <c r="C393">
        <v>1940</v>
      </c>
      <c r="D393">
        <f t="shared" ca="1" si="11"/>
        <v>85</v>
      </c>
      <c r="E393" s="5" t="s">
        <v>6</v>
      </c>
      <c r="F393" t="s">
        <v>29</v>
      </c>
      <c r="G393" t="str">
        <f t="shared" si="12"/>
        <v>&lt;500.000</v>
      </c>
      <c r="H393" t="s">
        <v>63</v>
      </c>
      <c r="I393">
        <v>0</v>
      </c>
      <c r="J393" t="s">
        <v>8</v>
      </c>
      <c r="K393" s="5" t="s">
        <v>38</v>
      </c>
      <c r="L393" s="5" t="s">
        <v>49</v>
      </c>
      <c r="M393" s="5" t="s">
        <v>57</v>
      </c>
      <c r="N393" s="5" t="s">
        <v>58</v>
      </c>
      <c r="O393" s="5" t="s">
        <v>42</v>
      </c>
      <c r="P393" s="5" t="s">
        <v>15</v>
      </c>
      <c r="Q393" s="5" t="s">
        <v>17</v>
      </c>
      <c r="R393" s="5" t="s">
        <v>43</v>
      </c>
      <c r="S393" s="5" t="s">
        <v>21</v>
      </c>
      <c r="T393" s="6" t="s">
        <v>73</v>
      </c>
      <c r="U393" s="6">
        <v>0</v>
      </c>
      <c r="V393" s="6" t="s">
        <v>73</v>
      </c>
      <c r="W393" s="6">
        <v>0</v>
      </c>
      <c r="X393" s="6" t="s">
        <v>46</v>
      </c>
      <c r="Y393">
        <v>0</v>
      </c>
      <c r="Z393" s="5" t="s">
        <v>46</v>
      </c>
      <c r="AA393" s="5" t="s">
        <v>44</v>
      </c>
      <c r="AB393" s="5" t="s">
        <v>46</v>
      </c>
    </row>
    <row r="394" spans="1:28" x14ac:dyDescent="0.35">
      <c r="A394" s="8" t="s">
        <v>1500</v>
      </c>
      <c r="B394" s="5" t="s">
        <v>325</v>
      </c>
      <c r="C394">
        <v>1953</v>
      </c>
      <c r="D394">
        <f t="shared" ca="1" si="11"/>
        <v>72</v>
      </c>
      <c r="E394" s="5" t="s">
        <v>6</v>
      </c>
      <c r="F394" t="s">
        <v>29</v>
      </c>
      <c r="G394" t="str">
        <f t="shared" si="12"/>
        <v>&lt;500.000</v>
      </c>
      <c r="H394" t="s">
        <v>30</v>
      </c>
      <c r="I394">
        <v>0</v>
      </c>
      <c r="J394" t="s">
        <v>8</v>
      </c>
      <c r="K394" s="5" t="s">
        <v>114</v>
      </c>
      <c r="L394" s="5" t="s">
        <v>11</v>
      </c>
      <c r="M394" s="5" t="s">
        <v>57</v>
      </c>
      <c r="N394" s="5" t="s">
        <v>58</v>
      </c>
      <c r="O394" s="5" t="s">
        <v>42</v>
      </c>
      <c r="P394" s="5" t="s">
        <v>15</v>
      </c>
      <c r="Q394" s="5" t="s">
        <v>17</v>
      </c>
      <c r="R394" s="5" t="s">
        <v>43</v>
      </c>
      <c r="S394" s="5" t="s">
        <v>21</v>
      </c>
      <c r="T394" s="6" t="s">
        <v>73</v>
      </c>
      <c r="U394" s="6">
        <v>0</v>
      </c>
      <c r="V394" s="6" t="s">
        <v>73</v>
      </c>
      <c r="W394" s="6">
        <v>0</v>
      </c>
      <c r="X394" s="6" t="s">
        <v>46</v>
      </c>
      <c r="Y394">
        <v>0</v>
      </c>
      <c r="Z394" s="5" t="s">
        <v>46</v>
      </c>
      <c r="AA394" s="5" t="s">
        <v>44</v>
      </c>
      <c r="AB394" s="5" t="s">
        <v>74</v>
      </c>
    </row>
    <row r="395" spans="1:28" x14ac:dyDescent="0.35">
      <c r="A395" s="8" t="s">
        <v>1501</v>
      </c>
      <c r="B395" s="5" t="s">
        <v>467</v>
      </c>
      <c r="C395">
        <v>1993</v>
      </c>
      <c r="D395">
        <f t="shared" ca="1" si="11"/>
        <v>32</v>
      </c>
      <c r="E395" s="5" t="s">
        <v>6</v>
      </c>
      <c r="F395" t="s">
        <v>137</v>
      </c>
      <c r="G395" t="str">
        <f t="shared" si="12"/>
        <v>500.000–1.000.000</v>
      </c>
      <c r="H395" t="s">
        <v>7</v>
      </c>
      <c r="I395">
        <v>2</v>
      </c>
      <c r="J395" t="s">
        <v>8</v>
      </c>
      <c r="K395" s="5" t="s">
        <v>38</v>
      </c>
      <c r="L395" s="5" t="s">
        <v>11</v>
      </c>
      <c r="M395" s="5" t="s">
        <v>57</v>
      </c>
      <c r="N395" s="5" t="s">
        <v>58</v>
      </c>
      <c r="O395" s="5" t="s">
        <v>42</v>
      </c>
      <c r="P395" s="5" t="s">
        <v>15</v>
      </c>
      <c r="Q395" s="5" t="s">
        <v>17</v>
      </c>
      <c r="R395" s="5" t="s">
        <v>43</v>
      </c>
      <c r="S395" s="5" t="s">
        <v>21</v>
      </c>
      <c r="T395" s="6" t="s">
        <v>23</v>
      </c>
      <c r="U395" s="6">
        <v>1</v>
      </c>
      <c r="V395" s="6" t="s">
        <v>76</v>
      </c>
      <c r="W395" s="6">
        <v>1</v>
      </c>
      <c r="X395" s="6" t="s">
        <v>60</v>
      </c>
      <c r="Y395">
        <v>0</v>
      </c>
      <c r="Z395" s="5" t="s">
        <v>64</v>
      </c>
      <c r="AA395" s="5" t="s">
        <v>46</v>
      </c>
      <c r="AB395" s="5" t="s">
        <v>46</v>
      </c>
    </row>
    <row r="396" spans="1:28" x14ac:dyDescent="0.35">
      <c r="A396" s="8" t="s">
        <v>1502</v>
      </c>
      <c r="B396" s="5" t="s">
        <v>468</v>
      </c>
      <c r="C396">
        <v>1991</v>
      </c>
      <c r="D396">
        <f t="shared" ca="1" si="11"/>
        <v>34</v>
      </c>
      <c r="E396" s="5" t="s">
        <v>28</v>
      </c>
      <c r="F396" t="s">
        <v>55</v>
      </c>
      <c r="G396" t="str">
        <f t="shared" si="12"/>
        <v>1.000.000–2.000.000</v>
      </c>
      <c r="H396" t="s">
        <v>385</v>
      </c>
      <c r="I396">
        <v>2</v>
      </c>
      <c r="J396" t="s">
        <v>8</v>
      </c>
      <c r="K396" s="5" t="s">
        <v>38</v>
      </c>
      <c r="L396" s="5" t="s">
        <v>11</v>
      </c>
      <c r="M396" s="5" t="s">
        <v>57</v>
      </c>
      <c r="N396" s="5" t="s">
        <v>58</v>
      </c>
      <c r="O396" s="5" t="s">
        <v>42</v>
      </c>
      <c r="P396" s="5" t="s">
        <v>15</v>
      </c>
      <c r="Q396" s="5" t="s">
        <v>17</v>
      </c>
      <c r="R396" s="5" t="s">
        <v>43</v>
      </c>
      <c r="S396" s="5" t="s">
        <v>21</v>
      </c>
      <c r="T396" s="6" t="s">
        <v>23</v>
      </c>
      <c r="U396" s="6">
        <v>1</v>
      </c>
      <c r="V396" s="6" t="s">
        <v>76</v>
      </c>
      <c r="W396" s="6">
        <v>1</v>
      </c>
      <c r="X396" s="6" t="s">
        <v>60</v>
      </c>
      <c r="Y396">
        <v>0</v>
      </c>
      <c r="Z396" s="5" t="s">
        <v>64</v>
      </c>
      <c r="AA396" s="5" t="s">
        <v>46</v>
      </c>
      <c r="AB396" s="5" t="s">
        <v>46</v>
      </c>
    </row>
    <row r="397" spans="1:28" x14ac:dyDescent="0.35">
      <c r="A397" s="8" t="s">
        <v>1503</v>
      </c>
      <c r="B397" s="5" t="s">
        <v>469</v>
      </c>
      <c r="C397">
        <v>1987</v>
      </c>
      <c r="D397">
        <f t="shared" ca="1" si="11"/>
        <v>38</v>
      </c>
      <c r="E397" s="5" t="s">
        <v>6</v>
      </c>
      <c r="F397" t="s">
        <v>29</v>
      </c>
      <c r="G397" t="str">
        <f t="shared" si="12"/>
        <v>&lt;500.000</v>
      </c>
      <c r="H397" t="s">
        <v>63</v>
      </c>
      <c r="I397">
        <v>2</v>
      </c>
      <c r="J397" t="s">
        <v>72</v>
      </c>
      <c r="K397" s="5" t="s">
        <v>38</v>
      </c>
      <c r="L397" s="5" t="s">
        <v>49</v>
      </c>
      <c r="M397" s="5" t="s">
        <v>57</v>
      </c>
      <c r="N397" s="5" t="s">
        <v>58</v>
      </c>
      <c r="O397" s="5" t="s">
        <v>89</v>
      </c>
      <c r="P397" s="5" t="s">
        <v>15</v>
      </c>
      <c r="Q397" s="5" t="s">
        <v>17</v>
      </c>
      <c r="R397" s="5" t="s">
        <v>43</v>
      </c>
      <c r="S397" s="5" t="s">
        <v>21</v>
      </c>
      <c r="T397" s="6" t="s">
        <v>73</v>
      </c>
      <c r="U397" s="6">
        <v>0</v>
      </c>
      <c r="V397" s="6" t="s">
        <v>73</v>
      </c>
      <c r="W397" s="6">
        <v>0</v>
      </c>
      <c r="X397" s="6" t="s">
        <v>46</v>
      </c>
      <c r="Y397">
        <v>2</v>
      </c>
      <c r="Z397" s="5" t="s">
        <v>46</v>
      </c>
      <c r="AA397" s="5" t="s">
        <v>46</v>
      </c>
      <c r="AB397" s="5" t="s">
        <v>46</v>
      </c>
    </row>
    <row r="398" spans="1:28" x14ac:dyDescent="0.35">
      <c r="A398" s="8" t="s">
        <v>1504</v>
      </c>
      <c r="B398" s="5" t="s">
        <v>470</v>
      </c>
      <c r="C398">
        <v>1979</v>
      </c>
      <c r="D398">
        <f t="shared" ca="1" si="11"/>
        <v>46</v>
      </c>
      <c r="E398" s="5" t="s">
        <v>28</v>
      </c>
      <c r="F398" t="s">
        <v>55</v>
      </c>
      <c r="G398" t="str">
        <f t="shared" si="12"/>
        <v>1.000.000–2.000.000</v>
      </c>
      <c r="H398" t="s">
        <v>63</v>
      </c>
      <c r="I398">
        <v>2</v>
      </c>
      <c r="J398" t="s">
        <v>72</v>
      </c>
      <c r="K398" s="5" t="s">
        <v>38</v>
      </c>
      <c r="L398" s="5" t="s">
        <v>49</v>
      </c>
      <c r="M398" s="5" t="s">
        <v>57</v>
      </c>
      <c r="N398" s="5" t="s">
        <v>58</v>
      </c>
      <c r="O398" s="5" t="s">
        <v>89</v>
      </c>
      <c r="P398" s="5" t="s">
        <v>15</v>
      </c>
      <c r="Q398" s="5" t="s">
        <v>17</v>
      </c>
      <c r="R398" s="5" t="s">
        <v>43</v>
      </c>
      <c r="S398" s="5" t="s">
        <v>21</v>
      </c>
      <c r="T398" s="6" t="s">
        <v>73</v>
      </c>
      <c r="U398" s="6">
        <v>0</v>
      </c>
      <c r="V398" s="6" t="s">
        <v>73</v>
      </c>
      <c r="W398" s="6">
        <v>0</v>
      </c>
      <c r="X398" s="6" t="s">
        <v>46</v>
      </c>
      <c r="Y398">
        <v>2</v>
      </c>
      <c r="Z398" s="5" t="s">
        <v>46</v>
      </c>
      <c r="AA398" s="5" t="s">
        <v>46</v>
      </c>
      <c r="AB398" s="5" t="s">
        <v>46</v>
      </c>
    </row>
    <row r="399" spans="1:28" x14ac:dyDescent="0.35">
      <c r="A399" s="8" t="s">
        <v>1505</v>
      </c>
      <c r="B399" s="5" t="s">
        <v>471</v>
      </c>
      <c r="C399">
        <v>1973</v>
      </c>
      <c r="D399">
        <f t="shared" ca="1" si="11"/>
        <v>52</v>
      </c>
      <c r="E399" s="5" t="s">
        <v>6</v>
      </c>
      <c r="F399" t="s">
        <v>162</v>
      </c>
      <c r="G399" t="str">
        <f t="shared" si="12"/>
        <v>1.000.000–2.000.000</v>
      </c>
      <c r="H399" t="s">
        <v>30</v>
      </c>
      <c r="I399">
        <v>2</v>
      </c>
      <c r="J399" t="s">
        <v>8</v>
      </c>
      <c r="K399" s="5" t="s">
        <v>38</v>
      </c>
      <c r="L399" s="5" t="s">
        <v>11</v>
      </c>
      <c r="M399" s="5" t="s">
        <v>57</v>
      </c>
      <c r="N399" s="5" t="s">
        <v>58</v>
      </c>
      <c r="O399" s="5" t="s">
        <v>42</v>
      </c>
      <c r="P399" s="5" t="s">
        <v>15</v>
      </c>
      <c r="Q399" s="5" t="s">
        <v>17</v>
      </c>
      <c r="R399" s="5" t="s">
        <v>43</v>
      </c>
      <c r="S399" s="5" t="s">
        <v>21</v>
      </c>
      <c r="T399" s="6" t="s">
        <v>84</v>
      </c>
      <c r="U399" s="6">
        <v>1</v>
      </c>
      <c r="V399" s="6" t="s">
        <v>26</v>
      </c>
      <c r="W399" s="6">
        <v>1</v>
      </c>
      <c r="X399" s="6" t="s">
        <v>46</v>
      </c>
      <c r="Y399">
        <v>1</v>
      </c>
      <c r="Z399" s="5" t="s">
        <v>46</v>
      </c>
      <c r="AA399" s="5" t="s">
        <v>46</v>
      </c>
      <c r="AB399" s="5" t="s">
        <v>46</v>
      </c>
    </row>
    <row r="400" spans="1:28" x14ac:dyDescent="0.35">
      <c r="A400" s="8" t="s">
        <v>1506</v>
      </c>
      <c r="B400" s="5" t="s">
        <v>472</v>
      </c>
      <c r="C400">
        <v>1975</v>
      </c>
      <c r="D400">
        <f t="shared" ca="1" si="11"/>
        <v>50</v>
      </c>
      <c r="E400" s="5" t="s">
        <v>28</v>
      </c>
      <c r="F400" t="s">
        <v>119</v>
      </c>
      <c r="G400" t="str">
        <f t="shared" si="12"/>
        <v>500.000–1.000.000</v>
      </c>
      <c r="H400" t="s">
        <v>7</v>
      </c>
      <c r="I400">
        <v>2</v>
      </c>
      <c r="J400" t="s">
        <v>8</v>
      </c>
      <c r="K400" s="5" t="s">
        <v>38</v>
      </c>
      <c r="L400" s="5" t="s">
        <v>11</v>
      </c>
      <c r="M400" s="5" t="s">
        <v>57</v>
      </c>
      <c r="N400" s="5" t="s">
        <v>58</v>
      </c>
      <c r="O400" s="5" t="s">
        <v>42</v>
      </c>
      <c r="P400" s="5" t="s">
        <v>15</v>
      </c>
      <c r="Q400" s="5" t="s">
        <v>17</v>
      </c>
      <c r="R400" s="5" t="s">
        <v>43</v>
      </c>
      <c r="S400" s="5" t="s">
        <v>21</v>
      </c>
      <c r="T400" s="6" t="s">
        <v>84</v>
      </c>
      <c r="U400" s="6">
        <v>1</v>
      </c>
      <c r="V400" s="6" t="s">
        <v>26</v>
      </c>
      <c r="W400" s="6">
        <v>1</v>
      </c>
      <c r="X400" s="6" t="s">
        <v>46</v>
      </c>
      <c r="Y400">
        <v>1</v>
      </c>
      <c r="Z400" s="5" t="s">
        <v>46</v>
      </c>
      <c r="AA400" s="5" t="s">
        <v>46</v>
      </c>
      <c r="AB400" s="5" t="s">
        <v>46</v>
      </c>
    </row>
    <row r="401" spans="1:28" x14ac:dyDescent="0.35">
      <c r="A401" s="8" t="s">
        <v>785</v>
      </c>
      <c r="B401" s="5" t="s">
        <v>473</v>
      </c>
      <c r="C401">
        <v>1961</v>
      </c>
      <c r="D401">
        <f t="shared" ca="1" si="11"/>
        <v>64</v>
      </c>
      <c r="E401" s="5" t="s">
        <v>6</v>
      </c>
      <c r="F401" t="s">
        <v>55</v>
      </c>
      <c r="G401" t="str">
        <f t="shared" si="12"/>
        <v>500.000–1.000.000</v>
      </c>
      <c r="H401" t="s">
        <v>30</v>
      </c>
      <c r="I401">
        <v>0</v>
      </c>
      <c r="J401" t="s">
        <v>8</v>
      </c>
      <c r="K401" s="5" t="s">
        <v>38</v>
      </c>
      <c r="L401" s="5" t="s">
        <v>11</v>
      </c>
      <c r="M401" s="5" t="s">
        <v>57</v>
      </c>
      <c r="N401" s="5" t="s">
        <v>58</v>
      </c>
      <c r="O401" s="5" t="s">
        <v>42</v>
      </c>
      <c r="P401" s="5" t="s">
        <v>15</v>
      </c>
      <c r="Q401" s="5" t="s">
        <v>17</v>
      </c>
      <c r="R401" s="5" t="s">
        <v>43</v>
      </c>
      <c r="S401" s="5" t="s">
        <v>21</v>
      </c>
      <c r="T401" s="6" t="s">
        <v>84</v>
      </c>
      <c r="U401" s="6">
        <v>1</v>
      </c>
      <c r="V401" s="6" t="s">
        <v>26</v>
      </c>
      <c r="W401" s="6">
        <v>1</v>
      </c>
      <c r="X401" s="6" t="s">
        <v>46</v>
      </c>
      <c r="Y401">
        <v>0</v>
      </c>
      <c r="Z401" s="5" t="s">
        <v>46</v>
      </c>
      <c r="AA401" s="5" t="s">
        <v>44</v>
      </c>
      <c r="AB401" s="5" t="s">
        <v>46</v>
      </c>
    </row>
    <row r="402" spans="1:28" x14ac:dyDescent="0.35">
      <c r="A402" s="8" t="s">
        <v>788</v>
      </c>
      <c r="B402" s="5" t="s">
        <v>474</v>
      </c>
      <c r="C402">
        <v>1974</v>
      </c>
      <c r="D402">
        <f t="shared" ca="1" si="11"/>
        <v>51</v>
      </c>
      <c r="E402" s="5" t="s">
        <v>6</v>
      </c>
      <c r="F402" t="s">
        <v>54</v>
      </c>
      <c r="G402" t="str">
        <f t="shared" si="12"/>
        <v>500.000–1.000.000</v>
      </c>
      <c r="H402" t="s">
        <v>30</v>
      </c>
      <c r="I402">
        <v>1</v>
      </c>
      <c r="J402" t="s">
        <v>8</v>
      </c>
      <c r="K402" s="5" t="s">
        <v>38</v>
      </c>
      <c r="L402" s="5" t="s">
        <v>11</v>
      </c>
      <c r="M402" s="5" t="s">
        <v>57</v>
      </c>
      <c r="N402" s="5" t="s">
        <v>58</v>
      </c>
      <c r="O402" s="5" t="s">
        <v>42</v>
      </c>
      <c r="P402" s="5" t="s">
        <v>15</v>
      </c>
      <c r="Q402" s="5" t="s">
        <v>17</v>
      </c>
      <c r="R402" s="5" t="s">
        <v>19</v>
      </c>
      <c r="S402" s="5" t="s">
        <v>21</v>
      </c>
      <c r="T402" s="6" t="s">
        <v>23</v>
      </c>
      <c r="U402" s="6">
        <v>1</v>
      </c>
      <c r="V402" s="6" t="s">
        <v>73</v>
      </c>
      <c r="W402" s="6">
        <v>0</v>
      </c>
      <c r="X402" s="6" t="s">
        <v>46</v>
      </c>
      <c r="Y402">
        <v>0</v>
      </c>
      <c r="Z402" s="5" t="s">
        <v>46</v>
      </c>
      <c r="AA402" s="5" t="s">
        <v>46</v>
      </c>
      <c r="AB402" s="5" t="s">
        <v>46</v>
      </c>
    </row>
    <row r="403" spans="1:28" x14ac:dyDescent="0.35">
      <c r="A403" s="8" t="s">
        <v>789</v>
      </c>
      <c r="B403" s="5" t="s">
        <v>464</v>
      </c>
      <c r="C403">
        <v>1975</v>
      </c>
      <c r="D403">
        <f t="shared" ca="1" si="11"/>
        <v>50</v>
      </c>
      <c r="E403" s="5" t="s">
        <v>6</v>
      </c>
      <c r="F403" t="s">
        <v>54</v>
      </c>
      <c r="G403" t="str">
        <f t="shared" si="12"/>
        <v>500.000–1.000.000</v>
      </c>
      <c r="H403" t="s">
        <v>30</v>
      </c>
      <c r="I403">
        <v>1</v>
      </c>
      <c r="J403" t="s">
        <v>8</v>
      </c>
      <c r="K403" s="5" t="s">
        <v>114</v>
      </c>
      <c r="L403" s="5" t="s">
        <v>11</v>
      </c>
      <c r="M403" s="5" t="s">
        <v>57</v>
      </c>
      <c r="N403" s="5" t="s">
        <v>58</v>
      </c>
      <c r="O403" s="5" t="s">
        <v>42</v>
      </c>
      <c r="P403" s="5" t="s">
        <v>15</v>
      </c>
      <c r="Q403" s="5" t="s">
        <v>17</v>
      </c>
      <c r="R403" s="5" t="s">
        <v>43</v>
      </c>
      <c r="S403" s="5" t="s">
        <v>21</v>
      </c>
      <c r="T403" s="6" t="s">
        <v>23</v>
      </c>
      <c r="U403" s="6">
        <v>1</v>
      </c>
      <c r="V403" s="6" t="s">
        <v>26</v>
      </c>
      <c r="W403" s="6">
        <v>1</v>
      </c>
      <c r="X403" s="6" t="s">
        <v>46</v>
      </c>
      <c r="Y403">
        <v>0</v>
      </c>
      <c r="Z403" s="5" t="s">
        <v>46</v>
      </c>
      <c r="AA403" s="5" t="s">
        <v>46</v>
      </c>
      <c r="AB403" s="5" t="s">
        <v>46</v>
      </c>
    </row>
    <row r="404" spans="1:28" x14ac:dyDescent="0.35">
      <c r="A404" s="8" t="s">
        <v>790</v>
      </c>
      <c r="B404" s="5" t="s">
        <v>475</v>
      </c>
      <c r="C404">
        <v>1974</v>
      </c>
      <c r="D404">
        <f t="shared" ca="1" si="11"/>
        <v>51</v>
      </c>
      <c r="E404" s="5" t="s">
        <v>28</v>
      </c>
      <c r="F404" t="s">
        <v>54</v>
      </c>
      <c r="G404" t="str">
        <f t="shared" si="12"/>
        <v>500.000–1.000.000</v>
      </c>
      <c r="H404" t="s">
        <v>7</v>
      </c>
      <c r="I404">
        <v>1</v>
      </c>
      <c r="J404" t="s">
        <v>8</v>
      </c>
      <c r="K404" s="5" t="s">
        <v>114</v>
      </c>
      <c r="L404" s="5" t="s">
        <v>11</v>
      </c>
      <c r="M404" s="5" t="s">
        <v>57</v>
      </c>
      <c r="N404" s="5" t="s">
        <v>58</v>
      </c>
      <c r="O404" s="5" t="s">
        <v>42</v>
      </c>
      <c r="P404" s="5" t="s">
        <v>15</v>
      </c>
      <c r="Q404" s="5" t="s">
        <v>17</v>
      </c>
      <c r="R404" s="5" t="s">
        <v>43</v>
      </c>
      <c r="S404" s="5" t="s">
        <v>21</v>
      </c>
      <c r="T404" s="6" t="s">
        <v>23</v>
      </c>
      <c r="U404" s="6">
        <v>1</v>
      </c>
      <c r="V404" s="6" t="s">
        <v>26</v>
      </c>
      <c r="W404" s="6">
        <v>1</v>
      </c>
      <c r="X404" s="6" t="s">
        <v>46</v>
      </c>
      <c r="Y404">
        <v>0</v>
      </c>
      <c r="Z404" s="5" t="s">
        <v>46</v>
      </c>
      <c r="AA404" s="5" t="s">
        <v>46</v>
      </c>
      <c r="AB404" s="5" t="s">
        <v>46</v>
      </c>
    </row>
    <row r="405" spans="1:28" x14ac:dyDescent="0.35">
      <c r="A405" s="8" t="s">
        <v>791</v>
      </c>
      <c r="B405" s="5" t="s">
        <v>476</v>
      </c>
      <c r="C405">
        <v>1977</v>
      </c>
      <c r="D405">
        <f t="shared" ca="1" si="11"/>
        <v>48</v>
      </c>
      <c r="E405" s="5" t="s">
        <v>6</v>
      </c>
      <c r="F405" t="s">
        <v>137</v>
      </c>
      <c r="G405" t="str">
        <f t="shared" si="12"/>
        <v>500.000–1.000.000</v>
      </c>
      <c r="H405" t="s">
        <v>7</v>
      </c>
      <c r="I405">
        <v>1</v>
      </c>
      <c r="J405" t="s">
        <v>48</v>
      </c>
      <c r="K405" s="5" t="s">
        <v>114</v>
      </c>
      <c r="L405" s="5" t="s">
        <v>11</v>
      </c>
      <c r="M405" s="5" t="s">
        <v>57</v>
      </c>
      <c r="N405" s="5" t="s">
        <v>58</v>
      </c>
      <c r="O405" s="5" t="s">
        <v>42</v>
      </c>
      <c r="P405" s="5" t="s">
        <v>15</v>
      </c>
      <c r="Q405" s="5" t="s">
        <v>17</v>
      </c>
      <c r="R405" s="5" t="s">
        <v>43</v>
      </c>
      <c r="S405" s="5" t="s">
        <v>21</v>
      </c>
      <c r="T405" s="6" t="s">
        <v>84</v>
      </c>
      <c r="U405" s="6">
        <v>1</v>
      </c>
      <c r="V405" s="6" t="s">
        <v>76</v>
      </c>
      <c r="W405" s="6">
        <v>1</v>
      </c>
      <c r="X405" s="6" t="s">
        <v>44</v>
      </c>
      <c r="Y405">
        <v>0</v>
      </c>
      <c r="Z405" s="5" t="s">
        <v>46</v>
      </c>
      <c r="AA405" s="5" t="s">
        <v>46</v>
      </c>
      <c r="AB405" s="5" t="s">
        <v>46</v>
      </c>
    </row>
    <row r="406" spans="1:28" x14ac:dyDescent="0.35">
      <c r="A406" s="8" t="s">
        <v>792</v>
      </c>
      <c r="B406" s="5" t="s">
        <v>477</v>
      </c>
      <c r="C406">
        <v>1980</v>
      </c>
      <c r="D406">
        <f t="shared" ca="1" si="11"/>
        <v>45</v>
      </c>
      <c r="E406" s="5" t="s">
        <v>28</v>
      </c>
      <c r="F406" t="s">
        <v>29</v>
      </c>
      <c r="G406" t="str">
        <f t="shared" si="12"/>
        <v>500.000–1.000.000</v>
      </c>
      <c r="H406" t="s">
        <v>7</v>
      </c>
      <c r="I406">
        <v>1</v>
      </c>
      <c r="J406" t="s">
        <v>48</v>
      </c>
      <c r="K406" s="5" t="s">
        <v>114</v>
      </c>
      <c r="L406" s="5" t="s">
        <v>11</v>
      </c>
      <c r="M406" s="5" t="s">
        <v>57</v>
      </c>
      <c r="N406" s="5" t="s">
        <v>58</v>
      </c>
      <c r="O406" s="5" t="s">
        <v>42</v>
      </c>
      <c r="P406" s="5" t="s">
        <v>15</v>
      </c>
      <c r="Q406" s="5" t="s">
        <v>17</v>
      </c>
      <c r="R406" s="5" t="s">
        <v>43</v>
      </c>
      <c r="S406" s="5" t="s">
        <v>21</v>
      </c>
      <c r="T406" s="6" t="s">
        <v>84</v>
      </c>
      <c r="U406" s="6">
        <v>1</v>
      </c>
      <c r="V406" s="6" t="s">
        <v>76</v>
      </c>
      <c r="W406" s="6">
        <v>1</v>
      </c>
      <c r="X406" s="6" t="s">
        <v>44</v>
      </c>
      <c r="Y406">
        <v>0</v>
      </c>
      <c r="Z406" s="5" t="s">
        <v>46</v>
      </c>
      <c r="AA406" s="5" t="s">
        <v>46</v>
      </c>
      <c r="AB406" s="5" t="s">
        <v>46</v>
      </c>
    </row>
    <row r="407" spans="1:28" x14ac:dyDescent="0.35">
      <c r="A407" s="8" t="s">
        <v>793</v>
      </c>
      <c r="B407" s="5" t="s">
        <v>478</v>
      </c>
      <c r="C407">
        <v>1968</v>
      </c>
      <c r="D407">
        <f t="shared" ca="1" si="11"/>
        <v>57</v>
      </c>
      <c r="E407" s="5" t="s">
        <v>6</v>
      </c>
      <c r="F407" t="s">
        <v>137</v>
      </c>
      <c r="G407" t="str">
        <f t="shared" si="12"/>
        <v>500.000–1.000.000</v>
      </c>
      <c r="H407" t="s">
        <v>30</v>
      </c>
      <c r="I407">
        <v>1</v>
      </c>
      <c r="J407" t="s">
        <v>8</v>
      </c>
      <c r="K407" s="5" t="s">
        <v>38</v>
      </c>
      <c r="L407" s="5" t="s">
        <v>11</v>
      </c>
      <c r="M407" s="5" t="s">
        <v>57</v>
      </c>
      <c r="N407" s="5" t="s">
        <v>58</v>
      </c>
      <c r="O407" s="5" t="s">
        <v>42</v>
      </c>
      <c r="P407" s="5" t="s">
        <v>15</v>
      </c>
      <c r="Q407" s="5" t="s">
        <v>17</v>
      </c>
      <c r="R407" s="5" t="s">
        <v>43</v>
      </c>
      <c r="S407" s="5" t="s">
        <v>21</v>
      </c>
      <c r="T407" s="6" t="s">
        <v>23</v>
      </c>
      <c r="U407" s="6">
        <v>1</v>
      </c>
      <c r="V407" s="6" t="s">
        <v>26</v>
      </c>
      <c r="W407" s="6">
        <v>1</v>
      </c>
      <c r="X407" s="6" t="s">
        <v>44</v>
      </c>
      <c r="Y407">
        <v>0</v>
      </c>
      <c r="Z407" s="5" t="s">
        <v>46</v>
      </c>
      <c r="AA407" s="5" t="s">
        <v>46</v>
      </c>
      <c r="AB407" s="5" t="s">
        <v>74</v>
      </c>
    </row>
    <row r="408" spans="1:28" x14ac:dyDescent="0.35">
      <c r="A408" s="8" t="s">
        <v>794</v>
      </c>
      <c r="B408" s="5" t="s">
        <v>479</v>
      </c>
      <c r="C408">
        <v>1985</v>
      </c>
      <c r="D408">
        <f t="shared" ca="1" si="11"/>
        <v>40</v>
      </c>
      <c r="E408" s="5" t="s">
        <v>6</v>
      </c>
      <c r="F408" t="s">
        <v>29</v>
      </c>
      <c r="G408" t="str">
        <f t="shared" si="12"/>
        <v>&lt;500.000</v>
      </c>
      <c r="H408" t="s">
        <v>63</v>
      </c>
      <c r="I408">
        <v>1</v>
      </c>
      <c r="J408" t="s">
        <v>48</v>
      </c>
      <c r="K408" s="5" t="s">
        <v>38</v>
      </c>
      <c r="L408" s="5" t="s">
        <v>11</v>
      </c>
      <c r="M408" s="5" t="s">
        <v>40</v>
      </c>
      <c r="N408" s="5" t="s">
        <v>37</v>
      </c>
      <c r="O408" s="5" t="s">
        <v>42</v>
      </c>
      <c r="P408" s="5" t="s">
        <v>15</v>
      </c>
      <c r="Q408" s="5" t="s">
        <v>17</v>
      </c>
      <c r="R408" s="5" t="s">
        <v>480</v>
      </c>
      <c r="S408" s="5" t="s">
        <v>21</v>
      </c>
      <c r="T408" s="6" t="s">
        <v>23</v>
      </c>
      <c r="U408" s="6">
        <v>1</v>
      </c>
      <c r="V408" s="6" t="s">
        <v>76</v>
      </c>
      <c r="W408" s="6">
        <v>1</v>
      </c>
      <c r="X408" s="6" t="s">
        <v>46</v>
      </c>
      <c r="Y408">
        <v>1</v>
      </c>
      <c r="Z408" s="5" t="s">
        <v>46</v>
      </c>
      <c r="AA408" s="5" t="s">
        <v>46</v>
      </c>
      <c r="AB408" s="5" t="s">
        <v>46</v>
      </c>
    </row>
    <row r="409" spans="1:28" x14ac:dyDescent="0.35">
      <c r="A409" s="8" t="s">
        <v>795</v>
      </c>
      <c r="B409" s="5" t="s">
        <v>410</v>
      </c>
      <c r="C409">
        <v>1983</v>
      </c>
      <c r="D409">
        <f t="shared" ca="1" si="11"/>
        <v>42</v>
      </c>
      <c r="E409" s="5" t="s">
        <v>6</v>
      </c>
      <c r="F409" t="s">
        <v>54</v>
      </c>
      <c r="G409" t="str">
        <f t="shared" si="12"/>
        <v>1.000.000–2.000.000</v>
      </c>
      <c r="H409" t="s">
        <v>139</v>
      </c>
      <c r="I409">
        <v>3</v>
      </c>
      <c r="J409" t="s">
        <v>48</v>
      </c>
      <c r="K409" s="5" t="s">
        <v>114</v>
      </c>
      <c r="L409" s="5" t="s">
        <v>11</v>
      </c>
      <c r="M409" s="5" t="s">
        <v>57</v>
      </c>
      <c r="N409" s="5" t="s">
        <v>58</v>
      </c>
      <c r="O409" s="5" t="s">
        <v>42</v>
      </c>
      <c r="P409" s="5" t="s">
        <v>15</v>
      </c>
      <c r="Q409" s="5" t="s">
        <v>17</v>
      </c>
      <c r="R409" s="5" t="s">
        <v>43</v>
      </c>
      <c r="S409" s="5" t="s">
        <v>21</v>
      </c>
      <c r="T409" s="6" t="s">
        <v>23</v>
      </c>
      <c r="U409" s="6">
        <v>1</v>
      </c>
      <c r="V409" s="6" t="s">
        <v>26</v>
      </c>
      <c r="W409" s="6">
        <v>1</v>
      </c>
      <c r="X409" s="6" t="s">
        <v>46</v>
      </c>
      <c r="Y409">
        <v>2</v>
      </c>
      <c r="Z409" s="5" t="s">
        <v>44</v>
      </c>
      <c r="AA409" s="5" t="s">
        <v>46</v>
      </c>
      <c r="AB409" s="5" t="s">
        <v>46</v>
      </c>
    </row>
    <row r="410" spans="1:28" x14ac:dyDescent="0.35">
      <c r="A410" s="8" t="s">
        <v>796</v>
      </c>
      <c r="B410" s="5" t="s">
        <v>481</v>
      </c>
      <c r="C410">
        <v>1992</v>
      </c>
      <c r="D410">
        <f t="shared" ca="1" si="11"/>
        <v>33</v>
      </c>
      <c r="E410" s="5" t="s">
        <v>28</v>
      </c>
      <c r="F410" t="s">
        <v>29</v>
      </c>
      <c r="G410" t="str">
        <f t="shared" si="12"/>
        <v>&lt;500.000</v>
      </c>
      <c r="H410" t="s">
        <v>30</v>
      </c>
      <c r="I410">
        <v>3</v>
      </c>
      <c r="J410" t="s">
        <v>48</v>
      </c>
      <c r="K410" s="5" t="s">
        <v>114</v>
      </c>
      <c r="L410" s="5" t="s">
        <v>11</v>
      </c>
      <c r="M410" s="5" t="s">
        <v>57</v>
      </c>
      <c r="N410" s="5" t="s">
        <v>58</v>
      </c>
      <c r="O410" s="5" t="s">
        <v>42</v>
      </c>
      <c r="P410" s="5" t="s">
        <v>15</v>
      </c>
      <c r="Q410" s="5" t="s">
        <v>17</v>
      </c>
      <c r="R410" s="5" t="s">
        <v>43</v>
      </c>
      <c r="S410" s="5" t="s">
        <v>21</v>
      </c>
      <c r="T410" s="6" t="s">
        <v>23</v>
      </c>
      <c r="U410" s="6">
        <v>1</v>
      </c>
      <c r="V410" s="6" t="s">
        <v>26</v>
      </c>
      <c r="W410" s="6">
        <v>1</v>
      </c>
      <c r="X410" s="6" t="s">
        <v>46</v>
      </c>
      <c r="Y410">
        <v>2</v>
      </c>
      <c r="Z410" s="5" t="s">
        <v>44</v>
      </c>
      <c r="AA410" s="5" t="s">
        <v>46</v>
      </c>
      <c r="AB410" s="5" t="s">
        <v>46</v>
      </c>
    </row>
    <row r="411" spans="1:28" x14ac:dyDescent="0.35">
      <c r="A411" s="8" t="s">
        <v>797</v>
      </c>
      <c r="B411" s="5" t="s">
        <v>272</v>
      </c>
      <c r="C411">
        <v>1952</v>
      </c>
      <c r="D411">
        <f t="shared" ca="1" si="11"/>
        <v>73</v>
      </c>
      <c r="E411" s="5" t="s">
        <v>6</v>
      </c>
      <c r="F411" t="s">
        <v>29</v>
      </c>
      <c r="G411" t="str">
        <f t="shared" si="12"/>
        <v>&lt;500.000</v>
      </c>
      <c r="H411" t="s">
        <v>30</v>
      </c>
      <c r="I411">
        <v>0</v>
      </c>
      <c r="J411" t="s">
        <v>8</v>
      </c>
      <c r="K411" s="5" t="s">
        <v>114</v>
      </c>
      <c r="L411" s="5" t="s">
        <v>11</v>
      </c>
      <c r="M411" s="5" t="s">
        <v>57</v>
      </c>
      <c r="N411" s="5" t="s">
        <v>58</v>
      </c>
      <c r="O411" s="5" t="s">
        <v>42</v>
      </c>
      <c r="P411" s="5" t="s">
        <v>15</v>
      </c>
      <c r="Q411" s="5" t="s">
        <v>17</v>
      </c>
      <c r="R411" s="5" t="s">
        <v>43</v>
      </c>
      <c r="S411" s="5" t="s">
        <v>21</v>
      </c>
      <c r="T411" s="6" t="s">
        <v>73</v>
      </c>
      <c r="U411" s="6">
        <v>0</v>
      </c>
      <c r="V411" s="6" t="s">
        <v>73</v>
      </c>
      <c r="W411" s="6">
        <v>0</v>
      </c>
      <c r="X411" s="6" t="s">
        <v>44</v>
      </c>
      <c r="Y411">
        <v>0</v>
      </c>
      <c r="Z411" s="5" t="s">
        <v>46</v>
      </c>
      <c r="AA411" s="5" t="s">
        <v>44</v>
      </c>
      <c r="AB411" s="5" t="s">
        <v>35</v>
      </c>
    </row>
    <row r="412" spans="1:28" x14ac:dyDescent="0.35">
      <c r="A412" s="8" t="s">
        <v>798</v>
      </c>
      <c r="B412" s="5" t="s">
        <v>444</v>
      </c>
      <c r="C412">
        <v>1975</v>
      </c>
      <c r="D412">
        <f t="shared" ca="1" si="11"/>
        <v>50</v>
      </c>
      <c r="E412" s="5" t="s">
        <v>6</v>
      </c>
      <c r="F412" t="s">
        <v>151</v>
      </c>
      <c r="G412" t="str">
        <f t="shared" si="12"/>
        <v>500.000–1.000.000</v>
      </c>
      <c r="H412" t="s">
        <v>7</v>
      </c>
      <c r="I412">
        <v>1</v>
      </c>
      <c r="J412" t="s">
        <v>8</v>
      </c>
      <c r="K412" s="5" t="s">
        <v>114</v>
      </c>
      <c r="L412" s="5" t="s">
        <v>11</v>
      </c>
      <c r="M412" s="5" t="s">
        <v>57</v>
      </c>
      <c r="N412" s="5" t="s">
        <v>58</v>
      </c>
      <c r="O412" s="5" t="s">
        <v>42</v>
      </c>
      <c r="P412" s="5" t="s">
        <v>15</v>
      </c>
      <c r="Q412" s="5" t="s">
        <v>17</v>
      </c>
      <c r="R412" s="5" t="s">
        <v>43</v>
      </c>
      <c r="S412" s="5" t="s">
        <v>21</v>
      </c>
      <c r="T412" s="6" t="s">
        <v>23</v>
      </c>
      <c r="U412" s="6">
        <v>1</v>
      </c>
      <c r="V412" s="6" t="s">
        <v>26</v>
      </c>
      <c r="W412" s="6">
        <v>1</v>
      </c>
      <c r="X412" s="6" t="s">
        <v>46</v>
      </c>
      <c r="Y412">
        <v>0</v>
      </c>
      <c r="Z412" s="5" t="s">
        <v>46</v>
      </c>
      <c r="AA412" s="5" t="s">
        <v>46</v>
      </c>
      <c r="AB412" s="5" t="s">
        <v>46</v>
      </c>
    </row>
    <row r="413" spans="1:28" x14ac:dyDescent="0.35">
      <c r="A413" s="8" t="s">
        <v>799</v>
      </c>
      <c r="B413" s="5" t="s">
        <v>400</v>
      </c>
      <c r="C413">
        <v>1976</v>
      </c>
      <c r="D413">
        <f t="shared" ca="1" si="11"/>
        <v>49</v>
      </c>
      <c r="E413" s="5" t="s">
        <v>28</v>
      </c>
      <c r="F413" t="s">
        <v>29</v>
      </c>
      <c r="G413" t="str">
        <f t="shared" si="12"/>
        <v>&lt;500.000</v>
      </c>
      <c r="H413" t="s">
        <v>30</v>
      </c>
      <c r="I413">
        <v>1</v>
      </c>
      <c r="J413" t="s">
        <v>8</v>
      </c>
      <c r="K413" s="5" t="s">
        <v>114</v>
      </c>
      <c r="L413" s="5" t="s">
        <v>11</v>
      </c>
      <c r="M413" s="5" t="s">
        <v>57</v>
      </c>
      <c r="N413" s="5" t="s">
        <v>58</v>
      </c>
      <c r="O413" s="5" t="s">
        <v>42</v>
      </c>
      <c r="P413" s="5" t="s">
        <v>15</v>
      </c>
      <c r="Q413" s="5" t="s">
        <v>17</v>
      </c>
      <c r="R413" s="5" t="s">
        <v>43</v>
      </c>
      <c r="S413" s="5" t="s">
        <v>21</v>
      </c>
      <c r="T413" s="6" t="s">
        <v>23</v>
      </c>
      <c r="U413" s="6">
        <v>1</v>
      </c>
      <c r="V413" s="6" t="s">
        <v>26</v>
      </c>
      <c r="W413" s="6">
        <v>1</v>
      </c>
      <c r="X413" s="6" t="s">
        <v>46</v>
      </c>
      <c r="Y413">
        <v>0</v>
      </c>
      <c r="Z413" s="5" t="s">
        <v>46</v>
      </c>
      <c r="AA413" s="5" t="s">
        <v>46</v>
      </c>
      <c r="AB413" s="5" t="s">
        <v>46</v>
      </c>
    </row>
    <row r="414" spans="1:28" x14ac:dyDescent="0.35">
      <c r="A414" s="8" t="s">
        <v>800</v>
      </c>
      <c r="B414" s="5" t="s">
        <v>482</v>
      </c>
      <c r="C414">
        <v>1966</v>
      </c>
      <c r="D414">
        <f t="shared" ref="D414:D452" ca="1" si="13">YEAR(TODAY()) - C414</f>
        <v>59</v>
      </c>
      <c r="E414" s="5" t="s">
        <v>6</v>
      </c>
      <c r="F414" t="s">
        <v>54</v>
      </c>
      <c r="G414" t="str">
        <f t="shared" si="12"/>
        <v>500.000–1.000.000</v>
      </c>
      <c r="H414" t="s">
        <v>7</v>
      </c>
      <c r="I414">
        <v>0</v>
      </c>
      <c r="J414" t="s">
        <v>72</v>
      </c>
      <c r="K414" s="5" t="s">
        <v>114</v>
      </c>
      <c r="L414" s="5" t="s">
        <v>11</v>
      </c>
      <c r="M414" s="5" t="s">
        <v>57</v>
      </c>
      <c r="N414" s="5" t="s">
        <v>58</v>
      </c>
      <c r="O414" s="5" t="s">
        <v>42</v>
      </c>
      <c r="P414" s="5" t="s">
        <v>15</v>
      </c>
      <c r="Q414" s="5" t="s">
        <v>17</v>
      </c>
      <c r="R414" s="5" t="s">
        <v>43</v>
      </c>
      <c r="S414" s="5" t="s">
        <v>21</v>
      </c>
      <c r="T414" s="6" t="s">
        <v>23</v>
      </c>
      <c r="U414" s="6">
        <v>1</v>
      </c>
      <c r="V414" s="6" t="s">
        <v>26</v>
      </c>
      <c r="W414" s="6">
        <v>1</v>
      </c>
      <c r="X414" s="6" t="s">
        <v>46</v>
      </c>
      <c r="Y414">
        <v>0</v>
      </c>
      <c r="Z414" s="5" t="s">
        <v>46</v>
      </c>
      <c r="AA414" s="5" t="s">
        <v>46</v>
      </c>
      <c r="AB414" s="5" t="s">
        <v>74</v>
      </c>
    </row>
    <row r="415" spans="1:28" x14ac:dyDescent="0.35">
      <c r="A415" s="8" t="s">
        <v>801</v>
      </c>
      <c r="B415" s="5" t="s">
        <v>244</v>
      </c>
      <c r="C415">
        <v>1972</v>
      </c>
      <c r="D415">
        <f t="shared" ca="1" si="13"/>
        <v>53</v>
      </c>
      <c r="E415" s="5" t="s">
        <v>28</v>
      </c>
      <c r="F415" t="s">
        <v>29</v>
      </c>
      <c r="G415" t="str">
        <f t="shared" si="12"/>
        <v>500.000–1.000.000</v>
      </c>
      <c r="H415" t="s">
        <v>7</v>
      </c>
      <c r="I415">
        <v>0</v>
      </c>
      <c r="J415" t="s">
        <v>72</v>
      </c>
      <c r="K415" s="5" t="s">
        <v>114</v>
      </c>
      <c r="L415" s="5" t="s">
        <v>11</v>
      </c>
      <c r="M415" s="5" t="s">
        <v>57</v>
      </c>
      <c r="N415" s="5" t="s">
        <v>58</v>
      </c>
      <c r="O415" s="5" t="s">
        <v>42</v>
      </c>
      <c r="P415" s="5" t="s">
        <v>15</v>
      </c>
      <c r="Q415" s="5" t="s">
        <v>17</v>
      </c>
      <c r="R415" s="5" t="s">
        <v>43</v>
      </c>
      <c r="S415" s="5" t="s">
        <v>21</v>
      </c>
      <c r="T415" s="6" t="s">
        <v>23</v>
      </c>
      <c r="U415" s="6">
        <v>1</v>
      </c>
      <c r="V415" s="6" t="s">
        <v>26</v>
      </c>
      <c r="W415" s="6">
        <v>1</v>
      </c>
      <c r="X415" s="6" t="s">
        <v>46</v>
      </c>
      <c r="Y415">
        <v>0</v>
      </c>
      <c r="Z415" s="5" t="s">
        <v>46</v>
      </c>
      <c r="AA415" s="5" t="s">
        <v>46</v>
      </c>
      <c r="AB415" s="5" t="s">
        <v>46</v>
      </c>
    </row>
    <row r="416" spans="1:28" x14ac:dyDescent="0.35">
      <c r="A416" s="8" t="s">
        <v>802</v>
      </c>
      <c r="B416" s="5" t="s">
        <v>483</v>
      </c>
      <c r="C416">
        <v>1998</v>
      </c>
      <c r="D416">
        <f t="shared" ca="1" si="13"/>
        <v>27</v>
      </c>
      <c r="E416" s="5" t="s">
        <v>6</v>
      </c>
      <c r="F416" t="s">
        <v>29</v>
      </c>
      <c r="G416" t="str">
        <f t="shared" si="12"/>
        <v>500.000–1.000.000</v>
      </c>
      <c r="H416" t="s">
        <v>7</v>
      </c>
      <c r="I416">
        <v>2</v>
      </c>
      <c r="J416" t="s">
        <v>48</v>
      </c>
      <c r="K416" s="5" t="s">
        <v>114</v>
      </c>
      <c r="L416" s="5" t="s">
        <v>11</v>
      </c>
      <c r="M416" s="5" t="s">
        <v>57</v>
      </c>
      <c r="N416" s="5" t="s">
        <v>58</v>
      </c>
      <c r="O416" s="5" t="s">
        <v>42</v>
      </c>
      <c r="P416" s="5" t="s">
        <v>15</v>
      </c>
      <c r="Q416" s="5" t="s">
        <v>17</v>
      </c>
      <c r="R416" s="5" t="s">
        <v>43</v>
      </c>
      <c r="S416" s="5" t="s">
        <v>21</v>
      </c>
      <c r="T416" s="6" t="s">
        <v>23</v>
      </c>
      <c r="U416" s="6">
        <v>1</v>
      </c>
      <c r="V416" s="6" t="s">
        <v>76</v>
      </c>
      <c r="W416" s="6">
        <v>1</v>
      </c>
      <c r="X416" s="6" t="s">
        <v>46</v>
      </c>
      <c r="Y416">
        <v>0</v>
      </c>
      <c r="Z416" s="5" t="s">
        <v>64</v>
      </c>
      <c r="AA416" s="5" t="s">
        <v>46</v>
      </c>
      <c r="AB416" s="5" t="s">
        <v>46</v>
      </c>
    </row>
    <row r="417" spans="1:28" x14ac:dyDescent="0.35">
      <c r="A417" s="8" t="s">
        <v>803</v>
      </c>
      <c r="B417" s="5" t="s">
        <v>484</v>
      </c>
      <c r="C417">
        <v>1997</v>
      </c>
      <c r="D417">
        <f t="shared" ca="1" si="13"/>
        <v>28</v>
      </c>
      <c r="E417" s="5" t="s">
        <v>28</v>
      </c>
      <c r="F417" t="s">
        <v>55</v>
      </c>
      <c r="G417" t="str">
        <f t="shared" si="12"/>
        <v>1.000.000–2.000.000</v>
      </c>
      <c r="H417" t="s">
        <v>139</v>
      </c>
      <c r="I417">
        <v>2</v>
      </c>
      <c r="J417" t="s">
        <v>48</v>
      </c>
      <c r="K417" s="5" t="s">
        <v>114</v>
      </c>
      <c r="L417" s="5" t="s">
        <v>11</v>
      </c>
      <c r="M417" s="5" t="s">
        <v>57</v>
      </c>
      <c r="N417" s="5" t="s">
        <v>58</v>
      </c>
      <c r="O417" s="5" t="s">
        <v>42</v>
      </c>
      <c r="P417" s="5" t="s">
        <v>15</v>
      </c>
      <c r="Q417" s="5" t="s">
        <v>17</v>
      </c>
      <c r="R417" s="5" t="s">
        <v>43</v>
      </c>
      <c r="S417" s="5" t="s">
        <v>21</v>
      </c>
      <c r="T417" s="6" t="s">
        <v>23</v>
      </c>
      <c r="U417" s="6">
        <v>1</v>
      </c>
      <c r="V417" s="6" t="s">
        <v>76</v>
      </c>
      <c r="W417" s="6">
        <v>1</v>
      </c>
      <c r="X417" s="6" t="s">
        <v>46</v>
      </c>
      <c r="Y417">
        <v>0</v>
      </c>
      <c r="Z417" s="5" t="s">
        <v>64</v>
      </c>
      <c r="AA417" s="5" t="s">
        <v>46</v>
      </c>
      <c r="AB417" s="5" t="s">
        <v>46</v>
      </c>
    </row>
    <row r="418" spans="1:28" x14ac:dyDescent="0.35">
      <c r="A418" s="8" t="s">
        <v>804</v>
      </c>
      <c r="B418" s="5" t="s">
        <v>485</v>
      </c>
      <c r="C418">
        <v>1966</v>
      </c>
      <c r="D418">
        <f t="shared" ca="1" si="13"/>
        <v>59</v>
      </c>
      <c r="E418" s="5" t="s">
        <v>6</v>
      </c>
      <c r="F418" t="s">
        <v>151</v>
      </c>
      <c r="G418" t="str">
        <f t="shared" si="12"/>
        <v>1.000.000–2.000.000</v>
      </c>
      <c r="H418" t="s">
        <v>139</v>
      </c>
      <c r="I418">
        <v>0</v>
      </c>
      <c r="J418" t="s">
        <v>8</v>
      </c>
      <c r="K418" s="5" t="s">
        <v>38</v>
      </c>
      <c r="L418" s="5" t="s">
        <v>11</v>
      </c>
      <c r="M418" s="5" t="s">
        <v>57</v>
      </c>
      <c r="N418" s="5" t="s">
        <v>58</v>
      </c>
      <c r="O418" s="5" t="s">
        <v>42</v>
      </c>
      <c r="P418" s="5" t="s">
        <v>15</v>
      </c>
      <c r="Q418" s="5" t="s">
        <v>17</v>
      </c>
      <c r="R418" s="5" t="s">
        <v>43</v>
      </c>
      <c r="S418" s="5" t="s">
        <v>21</v>
      </c>
      <c r="T418" s="6" t="s">
        <v>23</v>
      </c>
      <c r="U418" s="6">
        <v>1</v>
      </c>
      <c r="V418" s="6" t="s">
        <v>76</v>
      </c>
      <c r="W418" s="6">
        <v>1</v>
      </c>
      <c r="X418" s="6" t="s">
        <v>46</v>
      </c>
      <c r="Y418">
        <v>0</v>
      </c>
      <c r="Z418" s="5" t="s">
        <v>46</v>
      </c>
      <c r="AA418" s="5" t="s">
        <v>44</v>
      </c>
      <c r="AB418" s="5" t="s">
        <v>74</v>
      </c>
    </row>
    <row r="419" spans="1:28" x14ac:dyDescent="0.35">
      <c r="A419" s="8" t="s">
        <v>805</v>
      </c>
      <c r="B419" s="5" t="s">
        <v>132</v>
      </c>
      <c r="C419">
        <v>1965</v>
      </c>
      <c r="D419">
        <f t="shared" ca="1" si="13"/>
        <v>60</v>
      </c>
      <c r="E419" s="5" t="s">
        <v>28</v>
      </c>
      <c r="F419" t="s">
        <v>29</v>
      </c>
      <c r="G419" t="str">
        <f t="shared" si="12"/>
        <v>500.000–1.000.000</v>
      </c>
      <c r="H419" t="s">
        <v>139</v>
      </c>
      <c r="I419">
        <v>0</v>
      </c>
      <c r="J419" t="s">
        <v>8</v>
      </c>
      <c r="K419" s="5" t="s">
        <v>38</v>
      </c>
      <c r="L419" s="5" t="s">
        <v>11</v>
      </c>
      <c r="M419" s="5" t="s">
        <v>57</v>
      </c>
      <c r="N419" s="5" t="s">
        <v>58</v>
      </c>
      <c r="O419" s="5" t="s">
        <v>42</v>
      </c>
      <c r="P419" s="5" t="s">
        <v>15</v>
      </c>
      <c r="Q419" s="5" t="s">
        <v>17</v>
      </c>
      <c r="R419" s="5" t="s">
        <v>43</v>
      </c>
      <c r="S419" s="5" t="s">
        <v>21</v>
      </c>
      <c r="T419" s="6" t="s">
        <v>23</v>
      </c>
      <c r="U419" s="6">
        <v>1</v>
      </c>
      <c r="V419" s="6" t="s">
        <v>76</v>
      </c>
      <c r="W419" s="6">
        <v>1</v>
      </c>
      <c r="X419" s="6" t="s">
        <v>46</v>
      </c>
      <c r="Y419">
        <v>0</v>
      </c>
      <c r="Z419" s="5" t="s">
        <v>46</v>
      </c>
      <c r="AA419" s="5" t="s">
        <v>44</v>
      </c>
      <c r="AB419" s="5" t="s">
        <v>74</v>
      </c>
    </row>
    <row r="420" spans="1:28" x14ac:dyDescent="0.35">
      <c r="A420" s="8" t="s">
        <v>806</v>
      </c>
      <c r="B420" s="5" t="s">
        <v>486</v>
      </c>
      <c r="C420">
        <v>1965</v>
      </c>
      <c r="D420">
        <f t="shared" ca="1" si="13"/>
        <v>60</v>
      </c>
      <c r="E420" s="5" t="s">
        <v>6</v>
      </c>
      <c r="F420" t="s">
        <v>151</v>
      </c>
      <c r="G420" t="str">
        <f t="shared" si="12"/>
        <v>500.000–1.000.000</v>
      </c>
      <c r="H420" t="s">
        <v>7</v>
      </c>
      <c r="I420">
        <v>0</v>
      </c>
      <c r="J420" t="s">
        <v>8</v>
      </c>
      <c r="K420" s="5" t="s">
        <v>114</v>
      </c>
      <c r="L420" s="5" t="s">
        <v>11</v>
      </c>
      <c r="M420" s="5" t="s">
        <v>57</v>
      </c>
      <c r="N420" s="5" t="s">
        <v>58</v>
      </c>
      <c r="O420" s="5" t="s">
        <v>42</v>
      </c>
      <c r="P420" s="5" t="s">
        <v>15</v>
      </c>
      <c r="Q420" s="5" t="s">
        <v>17</v>
      </c>
      <c r="R420" s="5" t="s">
        <v>43</v>
      </c>
      <c r="S420" s="5" t="s">
        <v>21</v>
      </c>
      <c r="T420" s="6" t="s">
        <v>23</v>
      </c>
      <c r="U420" s="6">
        <v>1</v>
      </c>
      <c r="V420" s="6" t="s">
        <v>117</v>
      </c>
      <c r="W420" s="6">
        <v>1</v>
      </c>
      <c r="X420" s="6" t="s">
        <v>44</v>
      </c>
      <c r="Y420">
        <v>0</v>
      </c>
      <c r="Z420" s="5" t="s">
        <v>46</v>
      </c>
      <c r="AA420" s="5" t="s">
        <v>44</v>
      </c>
      <c r="AB420" s="5" t="s">
        <v>46</v>
      </c>
    </row>
    <row r="421" spans="1:28" x14ac:dyDescent="0.35">
      <c r="A421" s="8" t="s">
        <v>807</v>
      </c>
      <c r="B421" s="5" t="s">
        <v>487</v>
      </c>
      <c r="C421">
        <v>1969</v>
      </c>
      <c r="D421">
        <f t="shared" ca="1" si="13"/>
        <v>56</v>
      </c>
      <c r="E421" s="5" t="s">
        <v>28</v>
      </c>
      <c r="F421" t="s">
        <v>55</v>
      </c>
      <c r="G421" t="str">
        <f t="shared" si="12"/>
        <v>500.000–1.000.000</v>
      </c>
      <c r="H421" t="s">
        <v>7</v>
      </c>
      <c r="I421">
        <v>0</v>
      </c>
      <c r="J421" t="s">
        <v>8</v>
      </c>
      <c r="K421" s="5" t="s">
        <v>114</v>
      </c>
      <c r="L421" s="5" t="s">
        <v>11</v>
      </c>
      <c r="M421" s="5" t="s">
        <v>57</v>
      </c>
      <c r="N421" s="5" t="s">
        <v>58</v>
      </c>
      <c r="O421" s="5" t="s">
        <v>42</v>
      </c>
      <c r="P421" s="5" t="s">
        <v>15</v>
      </c>
      <c r="Q421" s="5" t="s">
        <v>17</v>
      </c>
      <c r="R421" s="5" t="s">
        <v>43</v>
      </c>
      <c r="S421" s="5" t="s">
        <v>21</v>
      </c>
      <c r="T421" s="6" t="s">
        <v>23</v>
      </c>
      <c r="U421" s="6">
        <v>1</v>
      </c>
      <c r="V421" s="6" t="s">
        <v>117</v>
      </c>
      <c r="W421" s="6">
        <v>1</v>
      </c>
      <c r="X421" s="6" t="s">
        <v>44</v>
      </c>
      <c r="Y421">
        <v>0</v>
      </c>
      <c r="Z421" s="5" t="s">
        <v>46</v>
      </c>
      <c r="AA421" s="5" t="s">
        <v>44</v>
      </c>
      <c r="AB421" s="5" t="s">
        <v>46</v>
      </c>
    </row>
    <row r="422" spans="1:28" x14ac:dyDescent="0.35">
      <c r="A422" s="8" t="s">
        <v>808</v>
      </c>
      <c r="B422" s="5" t="s">
        <v>488</v>
      </c>
      <c r="C422">
        <v>1971</v>
      </c>
      <c r="D422">
        <f t="shared" ca="1" si="13"/>
        <v>54</v>
      </c>
      <c r="E422" s="5" t="s">
        <v>6</v>
      </c>
      <c r="F422" t="s">
        <v>55</v>
      </c>
      <c r="G422" t="str">
        <f t="shared" si="12"/>
        <v>500.000–1.000.000</v>
      </c>
      <c r="H422" t="s">
        <v>7</v>
      </c>
      <c r="I422">
        <v>3</v>
      </c>
      <c r="J422" t="s">
        <v>72</v>
      </c>
      <c r="K422" s="5" t="s">
        <v>38</v>
      </c>
      <c r="L422" s="5" t="s">
        <v>11</v>
      </c>
      <c r="M422" s="5" t="s">
        <v>40</v>
      </c>
      <c r="N422" s="5" t="s">
        <v>37</v>
      </c>
      <c r="O422" s="5" t="s">
        <v>42</v>
      </c>
      <c r="P422" s="5" t="s">
        <v>15</v>
      </c>
      <c r="Q422" s="5" t="s">
        <v>17</v>
      </c>
      <c r="R422" s="5" t="s">
        <v>87</v>
      </c>
      <c r="S422" s="5" t="s">
        <v>21</v>
      </c>
      <c r="T422" s="6" t="s">
        <v>23</v>
      </c>
      <c r="U422" s="6">
        <v>1</v>
      </c>
      <c r="V422" s="6" t="s">
        <v>76</v>
      </c>
      <c r="W422" s="6">
        <v>1</v>
      </c>
      <c r="X422" s="6" t="s">
        <v>46</v>
      </c>
      <c r="Y422">
        <v>0</v>
      </c>
      <c r="Z422" s="5" t="s">
        <v>46</v>
      </c>
      <c r="AA422" s="5" t="s">
        <v>46</v>
      </c>
      <c r="AB422" s="5" t="s">
        <v>46</v>
      </c>
    </row>
    <row r="423" spans="1:28" x14ac:dyDescent="0.35">
      <c r="A423" s="8" t="s">
        <v>809</v>
      </c>
      <c r="B423" s="5" t="s">
        <v>489</v>
      </c>
      <c r="C423">
        <v>1974</v>
      </c>
      <c r="D423">
        <f t="shared" ca="1" si="13"/>
        <v>51</v>
      </c>
      <c r="E423" s="5" t="s">
        <v>28</v>
      </c>
      <c r="F423" t="s">
        <v>29</v>
      </c>
      <c r="G423" t="str">
        <f t="shared" si="12"/>
        <v>&lt;500.000</v>
      </c>
      <c r="H423" t="s">
        <v>30</v>
      </c>
      <c r="I423">
        <v>3</v>
      </c>
      <c r="J423" t="s">
        <v>72</v>
      </c>
      <c r="K423" s="5" t="s">
        <v>38</v>
      </c>
      <c r="L423" s="5" t="s">
        <v>11</v>
      </c>
      <c r="M423" s="5" t="s">
        <v>40</v>
      </c>
      <c r="N423" s="5" t="s">
        <v>37</v>
      </c>
      <c r="O423" s="5" t="s">
        <v>42</v>
      </c>
      <c r="P423" s="5" t="s">
        <v>15</v>
      </c>
      <c r="Q423" s="5" t="s">
        <v>17</v>
      </c>
      <c r="R423" s="5" t="s">
        <v>87</v>
      </c>
      <c r="S423" s="5" t="s">
        <v>21</v>
      </c>
      <c r="T423" s="6" t="s">
        <v>23</v>
      </c>
      <c r="U423" s="6">
        <v>1</v>
      </c>
      <c r="V423" s="6" t="s">
        <v>76</v>
      </c>
      <c r="W423" s="6">
        <v>1</v>
      </c>
      <c r="X423" s="6" t="s">
        <v>46</v>
      </c>
      <c r="Y423">
        <v>0</v>
      </c>
      <c r="Z423" s="5" t="s">
        <v>46</v>
      </c>
      <c r="AA423" s="5" t="s">
        <v>46</v>
      </c>
      <c r="AB423" s="5" t="s">
        <v>46</v>
      </c>
    </row>
    <row r="424" spans="1:28" x14ac:dyDescent="0.35">
      <c r="A424" s="8" t="s">
        <v>810</v>
      </c>
      <c r="B424" s="5" t="s">
        <v>490</v>
      </c>
      <c r="C424">
        <v>1982</v>
      </c>
      <c r="D424">
        <f t="shared" ca="1" si="13"/>
        <v>43</v>
      </c>
      <c r="E424" s="5" t="s">
        <v>6</v>
      </c>
      <c r="F424" t="s">
        <v>137</v>
      </c>
      <c r="G424" t="str">
        <f t="shared" si="12"/>
        <v>500.000–1.000.000</v>
      </c>
      <c r="H424" t="s">
        <v>30</v>
      </c>
      <c r="I424">
        <v>2</v>
      </c>
      <c r="J424" t="s">
        <v>72</v>
      </c>
      <c r="K424" s="5" t="s">
        <v>38</v>
      </c>
      <c r="L424" s="5" t="s">
        <v>11</v>
      </c>
      <c r="M424" s="5" t="s">
        <v>57</v>
      </c>
      <c r="N424" s="5" t="s">
        <v>58</v>
      </c>
      <c r="O424" s="5" t="s">
        <v>42</v>
      </c>
      <c r="P424" s="5" t="s">
        <v>15</v>
      </c>
      <c r="Q424" s="5" t="s">
        <v>17</v>
      </c>
      <c r="R424" s="5" t="s">
        <v>43</v>
      </c>
      <c r="S424" s="5" t="s">
        <v>21</v>
      </c>
      <c r="T424" s="6" t="s">
        <v>23</v>
      </c>
      <c r="U424" s="6">
        <v>1</v>
      </c>
      <c r="V424" s="6" t="s">
        <v>26</v>
      </c>
      <c r="W424" s="6">
        <v>1</v>
      </c>
      <c r="X424" s="6" t="s">
        <v>46</v>
      </c>
      <c r="Y424">
        <v>2</v>
      </c>
      <c r="Z424" s="5" t="s">
        <v>46</v>
      </c>
      <c r="AA424" s="5" t="s">
        <v>46</v>
      </c>
      <c r="AB424" s="5" t="s">
        <v>74</v>
      </c>
    </row>
    <row r="425" spans="1:28" x14ac:dyDescent="0.35">
      <c r="A425" s="8" t="s">
        <v>811</v>
      </c>
      <c r="B425" s="5" t="s">
        <v>491</v>
      </c>
      <c r="C425">
        <v>1955</v>
      </c>
      <c r="D425">
        <f t="shared" ca="1" si="13"/>
        <v>70</v>
      </c>
      <c r="E425" s="5" t="s">
        <v>6</v>
      </c>
      <c r="F425" t="s">
        <v>29</v>
      </c>
      <c r="G425" t="str">
        <f t="shared" si="12"/>
        <v>&lt;500.000</v>
      </c>
      <c r="H425" t="s">
        <v>63</v>
      </c>
      <c r="I425">
        <v>0</v>
      </c>
      <c r="J425" t="s">
        <v>8</v>
      </c>
      <c r="K425" s="5" t="s">
        <v>114</v>
      </c>
      <c r="L425" s="5" t="s">
        <v>11</v>
      </c>
      <c r="M425" s="5" t="s">
        <v>57</v>
      </c>
      <c r="N425" s="5" t="s">
        <v>58</v>
      </c>
      <c r="O425" s="5" t="s">
        <v>42</v>
      </c>
      <c r="P425" s="5" t="s">
        <v>15</v>
      </c>
      <c r="Q425" s="5" t="s">
        <v>17</v>
      </c>
      <c r="R425" s="5" t="s">
        <v>43</v>
      </c>
      <c r="S425" s="5" t="s">
        <v>21</v>
      </c>
      <c r="T425" s="6" t="s">
        <v>73</v>
      </c>
      <c r="U425" s="6">
        <v>0</v>
      </c>
      <c r="V425" s="6" t="s">
        <v>73</v>
      </c>
      <c r="W425" s="6">
        <v>0</v>
      </c>
      <c r="X425" s="6" t="s">
        <v>46</v>
      </c>
      <c r="Y425">
        <v>0</v>
      </c>
      <c r="Z425" s="5" t="s">
        <v>46</v>
      </c>
      <c r="AA425" s="5" t="s">
        <v>44</v>
      </c>
      <c r="AB425" s="5" t="s">
        <v>46</v>
      </c>
    </row>
    <row r="426" spans="1:28" x14ac:dyDescent="0.35">
      <c r="A426" s="8" t="s">
        <v>812</v>
      </c>
      <c r="B426" s="5" t="s">
        <v>492</v>
      </c>
      <c r="C426">
        <v>1993</v>
      </c>
      <c r="D426">
        <f t="shared" ca="1" si="13"/>
        <v>32</v>
      </c>
      <c r="E426" s="5" t="s">
        <v>6</v>
      </c>
      <c r="F426" t="s">
        <v>55</v>
      </c>
      <c r="G426" t="str">
        <f t="shared" si="12"/>
        <v>500.000–1.000.000</v>
      </c>
      <c r="H426" t="s">
        <v>30</v>
      </c>
      <c r="I426">
        <v>1</v>
      </c>
      <c r="J426" t="s">
        <v>48</v>
      </c>
      <c r="K426" s="5" t="s">
        <v>38</v>
      </c>
      <c r="L426" s="5" t="s">
        <v>49</v>
      </c>
      <c r="M426" s="5" t="s">
        <v>57</v>
      </c>
      <c r="N426" s="5" t="s">
        <v>58</v>
      </c>
      <c r="O426" s="5" t="s">
        <v>89</v>
      </c>
      <c r="P426" s="5" t="s">
        <v>15</v>
      </c>
      <c r="Q426" s="5" t="s">
        <v>17</v>
      </c>
      <c r="R426" s="5" t="s">
        <v>43</v>
      </c>
      <c r="S426" s="5" t="s">
        <v>21</v>
      </c>
      <c r="T426" s="6" t="s">
        <v>73</v>
      </c>
      <c r="U426" s="6">
        <v>0</v>
      </c>
      <c r="V426" s="6" t="s">
        <v>73</v>
      </c>
      <c r="W426" s="6">
        <v>0</v>
      </c>
      <c r="X426" s="6" t="s">
        <v>46</v>
      </c>
      <c r="Y426">
        <v>0</v>
      </c>
      <c r="Z426" s="5" t="s">
        <v>44</v>
      </c>
      <c r="AA426" s="5" t="s">
        <v>46</v>
      </c>
      <c r="AB426" s="5" t="s">
        <v>46</v>
      </c>
    </row>
    <row r="427" spans="1:28" x14ac:dyDescent="0.35">
      <c r="A427" s="8" t="s">
        <v>813</v>
      </c>
      <c r="B427" s="5" t="s">
        <v>493</v>
      </c>
      <c r="C427">
        <v>1999</v>
      </c>
      <c r="D427">
        <f t="shared" ca="1" si="13"/>
        <v>26</v>
      </c>
      <c r="E427" s="5" t="s">
        <v>28</v>
      </c>
      <c r="F427" t="s">
        <v>29</v>
      </c>
      <c r="G427" t="str">
        <f t="shared" si="12"/>
        <v>&lt;500.000</v>
      </c>
      <c r="H427" t="s">
        <v>63</v>
      </c>
      <c r="I427">
        <v>1</v>
      </c>
      <c r="J427" t="s">
        <v>48</v>
      </c>
      <c r="K427" s="5" t="s">
        <v>38</v>
      </c>
      <c r="L427" s="5" t="s">
        <v>49</v>
      </c>
      <c r="M427" s="5" t="s">
        <v>57</v>
      </c>
      <c r="N427" s="5" t="s">
        <v>58</v>
      </c>
      <c r="O427" s="5" t="s">
        <v>89</v>
      </c>
      <c r="P427" s="5" t="s">
        <v>15</v>
      </c>
      <c r="Q427" s="5" t="s">
        <v>17</v>
      </c>
      <c r="R427" s="5" t="s">
        <v>43</v>
      </c>
      <c r="S427" s="5" t="s">
        <v>21</v>
      </c>
      <c r="T427" s="6" t="s">
        <v>73</v>
      </c>
      <c r="U427" s="6">
        <v>0</v>
      </c>
      <c r="V427" s="6" t="s">
        <v>73</v>
      </c>
      <c r="W427" s="6">
        <v>0</v>
      </c>
      <c r="X427" s="6" t="s">
        <v>46</v>
      </c>
      <c r="Y427">
        <v>0</v>
      </c>
      <c r="Z427" s="5" t="s">
        <v>44</v>
      </c>
      <c r="AA427" s="5" t="s">
        <v>46</v>
      </c>
      <c r="AB427" s="5" t="s">
        <v>46</v>
      </c>
    </row>
    <row r="428" spans="1:28" x14ac:dyDescent="0.35">
      <c r="A428" s="8" t="s">
        <v>814</v>
      </c>
      <c r="B428" s="5" t="s">
        <v>335</v>
      </c>
      <c r="C428">
        <v>1930</v>
      </c>
      <c r="D428">
        <f t="shared" ca="1" si="13"/>
        <v>95</v>
      </c>
      <c r="E428" s="5" t="s">
        <v>6</v>
      </c>
      <c r="F428" t="s">
        <v>29</v>
      </c>
      <c r="G428" t="str">
        <f t="shared" si="12"/>
        <v>&lt;500.000</v>
      </c>
      <c r="H428" t="s">
        <v>30</v>
      </c>
      <c r="I428">
        <v>0</v>
      </c>
      <c r="J428" t="s">
        <v>8</v>
      </c>
      <c r="K428" s="5" t="s">
        <v>407</v>
      </c>
      <c r="L428" s="5" t="s">
        <v>49</v>
      </c>
      <c r="M428" s="5" t="s">
        <v>57</v>
      </c>
      <c r="N428" s="5" t="s">
        <v>58</v>
      </c>
      <c r="O428" s="5" t="s">
        <v>89</v>
      </c>
      <c r="P428" s="5" t="s">
        <v>15</v>
      </c>
      <c r="Q428" s="5" t="s">
        <v>17</v>
      </c>
      <c r="R428" s="5" t="s">
        <v>43</v>
      </c>
      <c r="S428" s="5" t="s">
        <v>21</v>
      </c>
      <c r="T428" s="6" t="s">
        <v>73</v>
      </c>
      <c r="U428" s="6">
        <v>0</v>
      </c>
      <c r="V428" s="6" t="s">
        <v>73</v>
      </c>
      <c r="W428" s="6">
        <v>0</v>
      </c>
      <c r="X428" s="6" t="s">
        <v>46</v>
      </c>
      <c r="Y428">
        <v>0</v>
      </c>
      <c r="Z428" s="5" t="s">
        <v>46</v>
      </c>
      <c r="AA428" s="5" t="s">
        <v>44</v>
      </c>
      <c r="AB428" s="5" t="s">
        <v>46</v>
      </c>
    </row>
    <row r="429" spans="1:28" x14ac:dyDescent="0.35">
      <c r="A429" s="8" t="s">
        <v>815</v>
      </c>
      <c r="B429" s="5" t="s">
        <v>494</v>
      </c>
      <c r="C429">
        <v>1993</v>
      </c>
      <c r="D429">
        <f t="shared" ca="1" si="13"/>
        <v>32</v>
      </c>
      <c r="E429" s="5" t="s">
        <v>6</v>
      </c>
      <c r="F429" t="s">
        <v>54</v>
      </c>
      <c r="G429" t="str">
        <f t="shared" si="12"/>
        <v>500.000–1.000.000</v>
      </c>
      <c r="H429" t="s">
        <v>7</v>
      </c>
      <c r="I429">
        <v>2</v>
      </c>
      <c r="J429" t="s">
        <v>48</v>
      </c>
      <c r="K429" s="5" t="s">
        <v>38</v>
      </c>
      <c r="L429" s="5" t="s">
        <v>11</v>
      </c>
      <c r="M429" s="5" t="s">
        <v>57</v>
      </c>
      <c r="N429" s="5" t="s">
        <v>58</v>
      </c>
      <c r="O429" s="5" t="s">
        <v>42</v>
      </c>
      <c r="P429" s="5" t="s">
        <v>15</v>
      </c>
      <c r="Q429" s="5" t="s">
        <v>17</v>
      </c>
      <c r="R429" s="5" t="s">
        <v>43</v>
      </c>
      <c r="S429" s="5" t="s">
        <v>21</v>
      </c>
      <c r="T429" s="6" t="s">
        <v>23</v>
      </c>
      <c r="U429" s="6">
        <v>1</v>
      </c>
      <c r="V429" s="6" t="s">
        <v>76</v>
      </c>
      <c r="W429" s="6">
        <v>1</v>
      </c>
      <c r="X429" s="6" t="s">
        <v>46</v>
      </c>
      <c r="Y429">
        <v>1</v>
      </c>
      <c r="Z429" s="5" t="s">
        <v>44</v>
      </c>
      <c r="AA429" s="5" t="s">
        <v>46</v>
      </c>
      <c r="AB429" s="5" t="s">
        <v>46</v>
      </c>
    </row>
    <row r="430" spans="1:28" x14ac:dyDescent="0.35">
      <c r="A430" s="8" t="s">
        <v>816</v>
      </c>
      <c r="B430" s="5" t="s">
        <v>495</v>
      </c>
      <c r="C430">
        <v>1996</v>
      </c>
      <c r="D430">
        <f t="shared" ca="1" si="13"/>
        <v>29</v>
      </c>
      <c r="E430" s="5" t="s">
        <v>28</v>
      </c>
      <c r="F430" t="s">
        <v>29</v>
      </c>
      <c r="G430" t="str">
        <f t="shared" si="12"/>
        <v>500.000–1.000.000</v>
      </c>
      <c r="H430" t="s">
        <v>7</v>
      </c>
      <c r="I430">
        <v>2</v>
      </c>
      <c r="J430" t="s">
        <v>48</v>
      </c>
      <c r="K430" s="5" t="s">
        <v>38</v>
      </c>
      <c r="L430" s="5" t="s">
        <v>11</v>
      </c>
      <c r="M430" s="5" t="s">
        <v>57</v>
      </c>
      <c r="N430" s="5" t="s">
        <v>58</v>
      </c>
      <c r="O430" s="5" t="s">
        <v>42</v>
      </c>
      <c r="P430" s="5" t="s">
        <v>15</v>
      </c>
      <c r="Q430" s="5" t="s">
        <v>17</v>
      </c>
      <c r="R430" s="5" t="s">
        <v>43</v>
      </c>
      <c r="S430" s="5" t="s">
        <v>21</v>
      </c>
      <c r="T430" s="6" t="s">
        <v>23</v>
      </c>
      <c r="U430" s="6">
        <v>1</v>
      </c>
      <c r="V430" s="6" t="s">
        <v>76</v>
      </c>
      <c r="W430" s="6">
        <v>1</v>
      </c>
      <c r="X430" s="6" t="s">
        <v>46</v>
      </c>
      <c r="Y430">
        <v>1</v>
      </c>
      <c r="Z430" s="5" t="s">
        <v>44</v>
      </c>
      <c r="AA430" s="5" t="s">
        <v>46</v>
      </c>
      <c r="AB430" s="5" t="s">
        <v>46</v>
      </c>
    </row>
    <row r="431" spans="1:28" x14ac:dyDescent="0.35">
      <c r="A431" s="8" t="s">
        <v>817</v>
      </c>
      <c r="B431" s="5" t="s">
        <v>496</v>
      </c>
      <c r="C431">
        <v>1962</v>
      </c>
      <c r="D431">
        <f t="shared" ca="1" si="13"/>
        <v>63</v>
      </c>
      <c r="E431" s="5" t="s">
        <v>6</v>
      </c>
      <c r="F431" t="s">
        <v>29</v>
      </c>
      <c r="G431" t="str">
        <f t="shared" si="12"/>
        <v>&lt;500.000</v>
      </c>
      <c r="H431" t="s">
        <v>63</v>
      </c>
      <c r="I431">
        <v>0</v>
      </c>
      <c r="J431" t="s">
        <v>8</v>
      </c>
      <c r="K431" s="5" t="s">
        <v>38</v>
      </c>
      <c r="L431" s="5" t="s">
        <v>11</v>
      </c>
      <c r="M431" s="5" t="s">
        <v>57</v>
      </c>
      <c r="N431" s="5" t="s">
        <v>58</v>
      </c>
      <c r="O431" s="5" t="s">
        <v>89</v>
      </c>
      <c r="P431" s="5" t="s">
        <v>15</v>
      </c>
      <c r="Q431" s="5" t="s">
        <v>17</v>
      </c>
      <c r="R431" s="5" t="s">
        <v>43</v>
      </c>
      <c r="S431" s="5" t="s">
        <v>21</v>
      </c>
      <c r="T431" s="6" t="s">
        <v>73</v>
      </c>
      <c r="U431" s="6">
        <v>0</v>
      </c>
      <c r="V431" s="6" t="s">
        <v>73</v>
      </c>
      <c r="W431" s="6">
        <v>0</v>
      </c>
      <c r="X431" s="6" t="s">
        <v>46</v>
      </c>
      <c r="Y431">
        <v>0</v>
      </c>
      <c r="Z431" s="5" t="s">
        <v>46</v>
      </c>
      <c r="AA431" s="5" t="s">
        <v>44</v>
      </c>
      <c r="AB431" s="5" t="s">
        <v>46</v>
      </c>
    </row>
    <row r="432" spans="1:28" x14ac:dyDescent="0.35">
      <c r="A432" s="8" t="s">
        <v>818</v>
      </c>
      <c r="B432" s="5" t="s">
        <v>497</v>
      </c>
      <c r="C432">
        <v>1958</v>
      </c>
      <c r="D432">
        <f t="shared" ca="1" si="13"/>
        <v>67</v>
      </c>
      <c r="E432" s="5" t="s">
        <v>6</v>
      </c>
      <c r="F432" t="s">
        <v>162</v>
      </c>
      <c r="G432" t="str">
        <f t="shared" si="12"/>
        <v>1.000.000–2.000.000</v>
      </c>
      <c r="H432" t="s">
        <v>30</v>
      </c>
      <c r="I432">
        <v>1</v>
      </c>
      <c r="J432" t="s">
        <v>8</v>
      </c>
      <c r="K432" s="5" t="s">
        <v>114</v>
      </c>
      <c r="L432" s="5" t="s">
        <v>11</v>
      </c>
      <c r="M432" s="5" t="s">
        <v>57</v>
      </c>
      <c r="N432" s="5" t="s">
        <v>58</v>
      </c>
      <c r="O432" s="5" t="s">
        <v>42</v>
      </c>
      <c r="P432" s="5" t="s">
        <v>15</v>
      </c>
      <c r="Q432" s="5" t="s">
        <v>17</v>
      </c>
      <c r="R432" s="5" t="s">
        <v>43</v>
      </c>
      <c r="S432" s="5" t="s">
        <v>21</v>
      </c>
      <c r="T432" s="6" t="s">
        <v>23</v>
      </c>
      <c r="U432" s="6">
        <v>1</v>
      </c>
      <c r="V432" s="6" t="s">
        <v>26</v>
      </c>
      <c r="W432" s="6">
        <v>1</v>
      </c>
      <c r="X432" s="6" t="s">
        <v>46</v>
      </c>
      <c r="Y432">
        <v>0</v>
      </c>
      <c r="Z432" s="5" t="s">
        <v>46</v>
      </c>
      <c r="AA432" s="5" t="s">
        <v>64</v>
      </c>
      <c r="AB432" s="5" t="s">
        <v>74</v>
      </c>
    </row>
    <row r="433" spans="1:28" x14ac:dyDescent="0.35">
      <c r="A433" s="8" t="s">
        <v>819</v>
      </c>
      <c r="B433" s="5" t="s">
        <v>498</v>
      </c>
      <c r="C433">
        <v>1963</v>
      </c>
      <c r="D433">
        <f t="shared" ca="1" si="13"/>
        <v>62</v>
      </c>
      <c r="E433" s="5" t="s">
        <v>28</v>
      </c>
      <c r="F433" t="s">
        <v>29</v>
      </c>
      <c r="G433" t="str">
        <f t="shared" si="12"/>
        <v>&lt;500.000</v>
      </c>
      <c r="H433" t="s">
        <v>63</v>
      </c>
      <c r="I433">
        <v>1</v>
      </c>
      <c r="J433" t="s">
        <v>8</v>
      </c>
      <c r="K433" s="5" t="s">
        <v>114</v>
      </c>
      <c r="L433" s="5" t="s">
        <v>11</v>
      </c>
      <c r="M433" s="5" t="s">
        <v>57</v>
      </c>
      <c r="N433" s="5" t="s">
        <v>58</v>
      </c>
      <c r="O433" s="5" t="s">
        <v>42</v>
      </c>
      <c r="P433" s="5" t="s">
        <v>15</v>
      </c>
      <c r="Q433" s="5" t="s">
        <v>17</v>
      </c>
      <c r="R433" s="5" t="s">
        <v>43</v>
      </c>
      <c r="S433" s="5" t="s">
        <v>21</v>
      </c>
      <c r="T433" s="6" t="s">
        <v>23</v>
      </c>
      <c r="U433" s="6">
        <v>1</v>
      </c>
      <c r="V433" s="6" t="s">
        <v>26</v>
      </c>
      <c r="W433" s="6">
        <v>1</v>
      </c>
      <c r="X433" s="6" t="s">
        <v>46</v>
      </c>
      <c r="Y433">
        <v>0</v>
      </c>
      <c r="Z433" s="5" t="s">
        <v>46</v>
      </c>
      <c r="AA433" s="5" t="s">
        <v>64</v>
      </c>
      <c r="AB433" s="5" t="s">
        <v>74</v>
      </c>
    </row>
    <row r="434" spans="1:28" x14ac:dyDescent="0.35">
      <c r="A434" s="8" t="s">
        <v>820</v>
      </c>
      <c r="B434" s="5" t="s">
        <v>499</v>
      </c>
      <c r="C434">
        <v>1939</v>
      </c>
      <c r="D434">
        <f t="shared" ca="1" si="13"/>
        <v>86</v>
      </c>
      <c r="E434" s="5" t="s">
        <v>6</v>
      </c>
      <c r="F434" t="s">
        <v>29</v>
      </c>
      <c r="G434" t="str">
        <f t="shared" si="12"/>
        <v>&lt;500.000</v>
      </c>
      <c r="H434" t="s">
        <v>30</v>
      </c>
      <c r="I434">
        <v>0</v>
      </c>
      <c r="J434" t="s">
        <v>8</v>
      </c>
      <c r="K434" s="5" t="s">
        <v>10</v>
      </c>
      <c r="L434" s="5" t="s">
        <v>11</v>
      </c>
      <c r="M434" s="5" t="s">
        <v>40</v>
      </c>
      <c r="N434" s="5" t="s">
        <v>37</v>
      </c>
      <c r="O434" s="5" t="s">
        <v>42</v>
      </c>
      <c r="P434" s="5" t="s">
        <v>15</v>
      </c>
      <c r="Q434" s="5" t="s">
        <v>17</v>
      </c>
      <c r="R434" s="5" t="s">
        <v>43</v>
      </c>
      <c r="S434" s="5" t="s">
        <v>21</v>
      </c>
      <c r="T434" s="6" t="s">
        <v>84</v>
      </c>
      <c r="U434" s="6">
        <v>1</v>
      </c>
      <c r="V434" s="6" t="s">
        <v>26</v>
      </c>
      <c r="W434" s="6">
        <v>1</v>
      </c>
      <c r="X434" s="6" t="s">
        <v>46</v>
      </c>
      <c r="Y434">
        <v>0</v>
      </c>
      <c r="Z434" s="5" t="s">
        <v>46</v>
      </c>
      <c r="AA434" s="5" t="s">
        <v>44</v>
      </c>
      <c r="AB434" s="5" t="s">
        <v>46</v>
      </c>
    </row>
    <row r="435" spans="1:28" x14ac:dyDescent="0.35">
      <c r="A435" s="8" t="s">
        <v>821</v>
      </c>
      <c r="B435" s="5" t="s">
        <v>500</v>
      </c>
      <c r="C435">
        <v>1989</v>
      </c>
      <c r="D435">
        <f t="shared" ca="1" si="13"/>
        <v>36</v>
      </c>
      <c r="E435" s="5" t="s">
        <v>6</v>
      </c>
      <c r="F435" t="s">
        <v>55</v>
      </c>
      <c r="G435" t="str">
        <f t="shared" si="12"/>
        <v>500.000–1.000.000</v>
      </c>
      <c r="H435" t="s">
        <v>30</v>
      </c>
      <c r="I435">
        <v>2</v>
      </c>
      <c r="J435" t="s">
        <v>8</v>
      </c>
      <c r="K435" s="5" t="s">
        <v>114</v>
      </c>
      <c r="L435" s="5" t="s">
        <v>11</v>
      </c>
      <c r="M435" s="5" t="s">
        <v>57</v>
      </c>
      <c r="N435" s="5" t="s">
        <v>58</v>
      </c>
      <c r="O435" s="5" t="s">
        <v>42</v>
      </c>
      <c r="P435" s="5" t="s">
        <v>15</v>
      </c>
      <c r="Q435" s="5" t="s">
        <v>17</v>
      </c>
      <c r="R435" s="5" t="s">
        <v>43</v>
      </c>
      <c r="S435" s="5" t="s">
        <v>21</v>
      </c>
      <c r="T435" s="6" t="s">
        <v>84</v>
      </c>
      <c r="U435" s="6">
        <v>1</v>
      </c>
      <c r="V435" s="6" t="s">
        <v>26</v>
      </c>
      <c r="W435" s="6">
        <v>1</v>
      </c>
      <c r="X435" s="6" t="s">
        <v>44</v>
      </c>
      <c r="Y435">
        <v>1</v>
      </c>
      <c r="Z435" s="5" t="s">
        <v>44</v>
      </c>
      <c r="AA435" s="5" t="s">
        <v>46</v>
      </c>
      <c r="AB435" s="5" t="s">
        <v>46</v>
      </c>
    </row>
    <row r="436" spans="1:28" x14ac:dyDescent="0.35">
      <c r="A436" s="8" t="s">
        <v>822</v>
      </c>
      <c r="B436" s="5" t="s">
        <v>501</v>
      </c>
      <c r="C436">
        <v>1993</v>
      </c>
      <c r="D436">
        <f t="shared" ca="1" si="13"/>
        <v>32</v>
      </c>
      <c r="E436" s="5" t="s">
        <v>28</v>
      </c>
      <c r="F436" t="s">
        <v>29</v>
      </c>
      <c r="G436" t="str">
        <f t="shared" si="12"/>
        <v>&lt;500.000</v>
      </c>
      <c r="H436" t="s">
        <v>63</v>
      </c>
      <c r="I436">
        <v>2</v>
      </c>
      <c r="J436" t="s">
        <v>8</v>
      </c>
      <c r="K436" s="5" t="s">
        <v>114</v>
      </c>
      <c r="L436" s="5" t="s">
        <v>11</v>
      </c>
      <c r="M436" s="5" t="s">
        <v>57</v>
      </c>
      <c r="N436" s="5" t="s">
        <v>58</v>
      </c>
      <c r="O436" s="5" t="s">
        <v>42</v>
      </c>
      <c r="P436" s="5" t="s">
        <v>15</v>
      </c>
      <c r="Q436" s="5" t="s">
        <v>17</v>
      </c>
      <c r="R436" s="5" t="s">
        <v>43</v>
      </c>
      <c r="S436" s="5" t="s">
        <v>21</v>
      </c>
      <c r="T436" s="6" t="s">
        <v>84</v>
      </c>
      <c r="U436" s="6">
        <v>1</v>
      </c>
      <c r="V436" s="6" t="s">
        <v>26</v>
      </c>
      <c r="W436" s="6">
        <v>1</v>
      </c>
      <c r="X436" s="6" t="s">
        <v>44</v>
      </c>
      <c r="Y436">
        <v>1</v>
      </c>
      <c r="Z436" s="5" t="s">
        <v>44</v>
      </c>
      <c r="AA436" s="5" t="s">
        <v>46</v>
      </c>
      <c r="AB436" s="5" t="s">
        <v>46</v>
      </c>
    </row>
    <row r="437" spans="1:28" x14ac:dyDescent="0.35">
      <c r="A437" s="8" t="s">
        <v>823</v>
      </c>
      <c r="B437" s="5" t="s">
        <v>502</v>
      </c>
      <c r="C437">
        <v>1992</v>
      </c>
      <c r="D437">
        <f t="shared" ca="1" si="13"/>
        <v>33</v>
      </c>
      <c r="E437" s="5" t="s">
        <v>6</v>
      </c>
      <c r="F437" t="s">
        <v>137</v>
      </c>
      <c r="G437" t="str">
        <f t="shared" si="12"/>
        <v>500.000–1.000.000</v>
      </c>
      <c r="H437" t="s">
        <v>30</v>
      </c>
      <c r="I437">
        <v>1</v>
      </c>
      <c r="J437" t="s">
        <v>8</v>
      </c>
      <c r="K437" s="5" t="s">
        <v>38</v>
      </c>
      <c r="L437" s="5" t="s">
        <v>11</v>
      </c>
      <c r="M437" s="5" t="s">
        <v>57</v>
      </c>
      <c r="N437" s="5" t="s">
        <v>58</v>
      </c>
      <c r="O437" s="5" t="s">
        <v>42</v>
      </c>
      <c r="P437" s="5" t="s">
        <v>15</v>
      </c>
      <c r="Q437" s="5" t="s">
        <v>17</v>
      </c>
      <c r="R437" s="5" t="s">
        <v>43</v>
      </c>
      <c r="S437" s="5" t="s">
        <v>21</v>
      </c>
      <c r="T437" s="6" t="s">
        <v>23</v>
      </c>
      <c r="U437" s="6">
        <v>1</v>
      </c>
      <c r="V437" s="6" t="s">
        <v>26</v>
      </c>
      <c r="W437" s="6">
        <v>1</v>
      </c>
      <c r="X437" s="6" t="s">
        <v>44</v>
      </c>
      <c r="Y437">
        <v>0</v>
      </c>
      <c r="Z437" s="5" t="s">
        <v>44</v>
      </c>
      <c r="AA437" s="5" t="s">
        <v>46</v>
      </c>
      <c r="AB437" s="5" t="s">
        <v>46</v>
      </c>
    </row>
    <row r="438" spans="1:28" x14ac:dyDescent="0.35">
      <c r="A438" s="8" t="s">
        <v>824</v>
      </c>
      <c r="B438" s="5" t="s">
        <v>503</v>
      </c>
      <c r="C438">
        <v>1993</v>
      </c>
      <c r="D438">
        <f t="shared" ca="1" si="13"/>
        <v>32</v>
      </c>
      <c r="E438" s="5" t="s">
        <v>28</v>
      </c>
      <c r="F438" t="s">
        <v>29</v>
      </c>
      <c r="G438" t="str">
        <f t="shared" si="12"/>
        <v>&lt;500.000</v>
      </c>
      <c r="H438" t="s">
        <v>30</v>
      </c>
      <c r="I438">
        <v>1</v>
      </c>
      <c r="J438" t="s">
        <v>8</v>
      </c>
      <c r="K438" s="5" t="s">
        <v>38</v>
      </c>
      <c r="L438" s="5" t="s">
        <v>11</v>
      </c>
      <c r="M438" s="5" t="s">
        <v>57</v>
      </c>
      <c r="N438" s="5" t="s">
        <v>58</v>
      </c>
      <c r="O438" s="5" t="s">
        <v>42</v>
      </c>
      <c r="P438" s="5" t="s">
        <v>15</v>
      </c>
      <c r="Q438" s="5" t="s">
        <v>17</v>
      </c>
      <c r="R438" s="5" t="s">
        <v>43</v>
      </c>
      <c r="S438" s="5" t="s">
        <v>21</v>
      </c>
      <c r="T438" s="6" t="s">
        <v>23</v>
      </c>
      <c r="U438" s="6">
        <v>1</v>
      </c>
      <c r="V438" s="6" t="s">
        <v>26</v>
      </c>
      <c r="W438" s="6">
        <v>1</v>
      </c>
      <c r="X438" s="6" t="s">
        <v>44</v>
      </c>
      <c r="Y438">
        <v>0</v>
      </c>
      <c r="Z438" s="5" t="s">
        <v>44</v>
      </c>
      <c r="AA438" s="5" t="s">
        <v>46</v>
      </c>
      <c r="AB438" s="5" t="s">
        <v>46</v>
      </c>
    </row>
    <row r="439" spans="1:28" x14ac:dyDescent="0.35">
      <c r="A439" s="8" t="s">
        <v>825</v>
      </c>
      <c r="B439" s="5" t="s">
        <v>504</v>
      </c>
      <c r="C439">
        <v>1975</v>
      </c>
      <c r="D439">
        <f t="shared" ca="1" si="13"/>
        <v>50</v>
      </c>
      <c r="E439" s="5" t="s">
        <v>6</v>
      </c>
      <c r="F439" t="s">
        <v>55</v>
      </c>
      <c r="G439" t="str">
        <f t="shared" si="12"/>
        <v>500.000–1.000.000</v>
      </c>
      <c r="H439" t="s">
        <v>30</v>
      </c>
      <c r="I439">
        <v>0</v>
      </c>
      <c r="J439" t="s">
        <v>8</v>
      </c>
      <c r="K439" s="5" t="s">
        <v>114</v>
      </c>
      <c r="L439" s="5" t="s">
        <v>11</v>
      </c>
      <c r="M439" s="5" t="s">
        <v>57</v>
      </c>
      <c r="N439" s="5" t="s">
        <v>58</v>
      </c>
      <c r="O439" s="5" t="s">
        <v>89</v>
      </c>
      <c r="P439" s="5" t="s">
        <v>15</v>
      </c>
      <c r="Q439" s="5" t="s">
        <v>17</v>
      </c>
      <c r="R439" s="5" t="s">
        <v>43</v>
      </c>
      <c r="S439" s="5" t="s">
        <v>21</v>
      </c>
      <c r="T439" s="6" t="s">
        <v>73</v>
      </c>
      <c r="U439" s="6">
        <v>0</v>
      </c>
      <c r="V439" s="6" t="s">
        <v>73</v>
      </c>
      <c r="W439" s="6">
        <v>0</v>
      </c>
      <c r="X439" s="6" t="s">
        <v>46</v>
      </c>
      <c r="Y439">
        <v>0</v>
      </c>
      <c r="Z439" s="5" t="s">
        <v>46</v>
      </c>
      <c r="AA439" s="5" t="s">
        <v>46</v>
      </c>
      <c r="AB439" s="5" t="s">
        <v>46</v>
      </c>
    </row>
    <row r="440" spans="1:28" x14ac:dyDescent="0.35">
      <c r="A440" s="8" t="s">
        <v>826</v>
      </c>
      <c r="B440" s="5" t="s">
        <v>505</v>
      </c>
      <c r="C440">
        <v>1972</v>
      </c>
      <c r="D440">
        <f t="shared" ca="1" si="13"/>
        <v>53</v>
      </c>
      <c r="E440" s="5" t="s">
        <v>6</v>
      </c>
      <c r="F440" t="s">
        <v>162</v>
      </c>
      <c r="G440" t="str">
        <f t="shared" si="12"/>
        <v>1.000.000–2.000.000</v>
      </c>
      <c r="H440" t="s">
        <v>7</v>
      </c>
      <c r="I440">
        <v>2</v>
      </c>
      <c r="J440" t="s">
        <v>48</v>
      </c>
      <c r="K440" s="5" t="s">
        <v>114</v>
      </c>
      <c r="L440" s="5" t="s">
        <v>11</v>
      </c>
      <c r="M440" s="5" t="s">
        <v>57</v>
      </c>
      <c r="N440" s="5" t="s">
        <v>58</v>
      </c>
      <c r="O440" s="5" t="s">
        <v>42</v>
      </c>
      <c r="P440" s="5" t="s">
        <v>15</v>
      </c>
      <c r="Q440" s="5" t="s">
        <v>17</v>
      </c>
      <c r="R440" s="5" t="s">
        <v>43</v>
      </c>
      <c r="S440" s="5" t="s">
        <v>21</v>
      </c>
      <c r="T440" s="6" t="s">
        <v>23</v>
      </c>
      <c r="U440" s="6">
        <v>1</v>
      </c>
      <c r="V440" s="6" t="s">
        <v>52</v>
      </c>
      <c r="W440" s="6">
        <v>1</v>
      </c>
      <c r="X440" s="6" t="s">
        <v>44</v>
      </c>
      <c r="Y440">
        <v>1</v>
      </c>
      <c r="Z440" s="5" t="s">
        <v>46</v>
      </c>
      <c r="AA440" s="5" t="s">
        <v>46</v>
      </c>
      <c r="AB440" s="5" t="s">
        <v>46</v>
      </c>
    </row>
    <row r="441" spans="1:28" x14ac:dyDescent="0.35">
      <c r="A441" s="8" t="s">
        <v>827</v>
      </c>
      <c r="B441" s="5" t="s">
        <v>506</v>
      </c>
      <c r="C441">
        <v>2000</v>
      </c>
      <c r="D441">
        <f t="shared" ca="1" si="13"/>
        <v>25</v>
      </c>
      <c r="E441" s="5" t="s">
        <v>6</v>
      </c>
      <c r="F441" t="s">
        <v>54</v>
      </c>
      <c r="G441" t="str">
        <f t="shared" si="12"/>
        <v>1.000.000–2.000.000</v>
      </c>
      <c r="H441" t="s">
        <v>139</v>
      </c>
      <c r="I441">
        <v>1</v>
      </c>
      <c r="J441" t="s">
        <v>8</v>
      </c>
      <c r="K441" s="5" t="s">
        <v>10</v>
      </c>
      <c r="L441" s="5" t="s">
        <v>11</v>
      </c>
      <c r="M441" s="5" t="s">
        <v>14</v>
      </c>
      <c r="N441" s="5" t="s">
        <v>37</v>
      </c>
      <c r="O441" s="5" t="s">
        <v>42</v>
      </c>
      <c r="P441" s="5" t="s">
        <v>15</v>
      </c>
      <c r="Q441" s="5" t="s">
        <v>17</v>
      </c>
      <c r="R441" s="5" t="s">
        <v>19</v>
      </c>
      <c r="S441" s="5" t="s">
        <v>21</v>
      </c>
      <c r="T441" s="6" t="s">
        <v>23</v>
      </c>
      <c r="U441" s="6">
        <v>1</v>
      </c>
      <c r="V441" s="6" t="s">
        <v>249</v>
      </c>
      <c r="W441" s="6">
        <v>1</v>
      </c>
      <c r="X441" s="6" t="s">
        <v>46</v>
      </c>
      <c r="Y441">
        <v>0</v>
      </c>
      <c r="Z441" s="5" t="s">
        <v>44</v>
      </c>
      <c r="AA441" s="5" t="s">
        <v>46</v>
      </c>
      <c r="AB441" s="5" t="s">
        <v>46</v>
      </c>
    </row>
    <row r="442" spans="1:28" x14ac:dyDescent="0.35">
      <c r="A442" s="8" t="s">
        <v>828</v>
      </c>
      <c r="B442" s="5" t="s">
        <v>507</v>
      </c>
      <c r="C442">
        <v>2001</v>
      </c>
      <c r="D442">
        <f t="shared" ca="1" si="13"/>
        <v>24</v>
      </c>
      <c r="E442" s="5" t="s">
        <v>28</v>
      </c>
      <c r="F442" t="s">
        <v>29</v>
      </c>
      <c r="G442" t="str">
        <f t="shared" si="12"/>
        <v>500.000–1.000.000</v>
      </c>
      <c r="H442" t="s">
        <v>139</v>
      </c>
      <c r="I442">
        <v>1</v>
      </c>
      <c r="J442" t="s">
        <v>8</v>
      </c>
      <c r="K442" s="5" t="s">
        <v>10</v>
      </c>
      <c r="L442" s="5" t="s">
        <v>11</v>
      </c>
      <c r="M442" s="5" t="s">
        <v>14</v>
      </c>
      <c r="N442" s="5" t="s">
        <v>37</v>
      </c>
      <c r="O442" s="5" t="s">
        <v>42</v>
      </c>
      <c r="P442" s="5" t="s">
        <v>15</v>
      </c>
      <c r="Q442" s="5" t="s">
        <v>17</v>
      </c>
      <c r="R442" s="5" t="s">
        <v>19</v>
      </c>
      <c r="S442" s="5" t="s">
        <v>21</v>
      </c>
      <c r="T442" s="6" t="s">
        <v>23</v>
      </c>
      <c r="U442" s="6">
        <v>1</v>
      </c>
      <c r="V442" s="6" t="s">
        <v>249</v>
      </c>
      <c r="W442" s="6">
        <v>1</v>
      </c>
      <c r="X442" s="6" t="s">
        <v>46</v>
      </c>
      <c r="Y442">
        <v>0</v>
      </c>
      <c r="Z442" s="5" t="s">
        <v>44</v>
      </c>
      <c r="AA442" s="5" t="s">
        <v>46</v>
      </c>
      <c r="AB442" s="5" t="s">
        <v>46</v>
      </c>
    </row>
    <row r="443" spans="1:28" x14ac:dyDescent="0.35">
      <c r="A443" s="8" t="s">
        <v>829</v>
      </c>
      <c r="B443" s="5" t="s">
        <v>508</v>
      </c>
      <c r="C443">
        <v>1953</v>
      </c>
      <c r="D443">
        <f t="shared" ca="1" si="13"/>
        <v>72</v>
      </c>
      <c r="E443" s="5" t="s">
        <v>6</v>
      </c>
      <c r="F443" t="s">
        <v>55</v>
      </c>
      <c r="G443" t="str">
        <f t="shared" si="12"/>
        <v>500.000–1.000.000</v>
      </c>
      <c r="H443" t="s">
        <v>30</v>
      </c>
      <c r="I443">
        <v>0</v>
      </c>
      <c r="J443" t="s">
        <v>8</v>
      </c>
      <c r="K443" s="5" t="s">
        <v>38</v>
      </c>
      <c r="L443" s="5" t="s">
        <v>11</v>
      </c>
      <c r="M443" s="5" t="s">
        <v>57</v>
      </c>
      <c r="N443" s="5" t="s">
        <v>58</v>
      </c>
      <c r="O443" s="5" t="s">
        <v>42</v>
      </c>
      <c r="P443" s="5" t="s">
        <v>15</v>
      </c>
      <c r="Q443" s="5" t="s">
        <v>17</v>
      </c>
      <c r="R443" s="5" t="s">
        <v>43</v>
      </c>
      <c r="S443" s="5" t="s">
        <v>21</v>
      </c>
      <c r="T443" s="6" t="s">
        <v>23</v>
      </c>
      <c r="U443" s="6">
        <v>1</v>
      </c>
      <c r="V443" s="6" t="s">
        <v>26</v>
      </c>
      <c r="W443" s="6">
        <v>1</v>
      </c>
      <c r="X443" s="6" t="s">
        <v>46</v>
      </c>
      <c r="Y443">
        <v>0</v>
      </c>
      <c r="Z443" s="5" t="s">
        <v>46</v>
      </c>
      <c r="AA443" s="5" t="s">
        <v>64</v>
      </c>
      <c r="AB443" s="5" t="s">
        <v>46</v>
      </c>
    </row>
    <row r="444" spans="1:28" x14ac:dyDescent="0.35">
      <c r="A444" s="8" t="s">
        <v>830</v>
      </c>
      <c r="B444" s="5" t="s">
        <v>509</v>
      </c>
      <c r="C444">
        <v>1959</v>
      </c>
      <c r="D444">
        <f t="shared" ca="1" si="13"/>
        <v>66</v>
      </c>
      <c r="E444" s="5" t="s">
        <v>28</v>
      </c>
      <c r="F444" t="s">
        <v>29</v>
      </c>
      <c r="G444" t="str">
        <f t="shared" si="12"/>
        <v>&lt;500.000</v>
      </c>
      <c r="H444" t="s">
        <v>63</v>
      </c>
      <c r="I444">
        <v>0</v>
      </c>
      <c r="J444" t="s">
        <v>8</v>
      </c>
      <c r="K444" s="5" t="s">
        <v>38</v>
      </c>
      <c r="L444" s="5" t="s">
        <v>11</v>
      </c>
      <c r="M444" s="5" t="s">
        <v>57</v>
      </c>
      <c r="N444" s="5" t="s">
        <v>58</v>
      </c>
      <c r="O444" s="5" t="s">
        <v>42</v>
      </c>
      <c r="P444" s="5" t="s">
        <v>15</v>
      </c>
      <c r="Q444" s="5" t="s">
        <v>17</v>
      </c>
      <c r="R444" s="5" t="s">
        <v>43</v>
      </c>
      <c r="S444" s="5" t="s">
        <v>21</v>
      </c>
      <c r="T444" s="6" t="s">
        <v>23</v>
      </c>
      <c r="U444" s="6">
        <v>1</v>
      </c>
      <c r="V444" s="6" t="s">
        <v>26</v>
      </c>
      <c r="W444" s="6">
        <v>1</v>
      </c>
      <c r="X444" s="6" t="s">
        <v>46</v>
      </c>
      <c r="Y444">
        <v>0</v>
      </c>
      <c r="Z444" s="5" t="s">
        <v>46</v>
      </c>
      <c r="AA444" s="5" t="s">
        <v>64</v>
      </c>
      <c r="AB444" s="5" t="s">
        <v>46</v>
      </c>
    </row>
    <row r="445" spans="1:28" x14ac:dyDescent="0.35">
      <c r="A445" s="8" t="s">
        <v>831</v>
      </c>
      <c r="B445" s="5" t="s">
        <v>100</v>
      </c>
      <c r="C445">
        <v>1973</v>
      </c>
      <c r="D445">
        <f t="shared" ca="1" si="13"/>
        <v>52</v>
      </c>
      <c r="E445" s="5" t="s">
        <v>6</v>
      </c>
      <c r="F445" t="s">
        <v>29</v>
      </c>
      <c r="G445" t="str">
        <f t="shared" si="12"/>
        <v>&lt;500.000</v>
      </c>
      <c r="H445" t="s">
        <v>30</v>
      </c>
      <c r="I445">
        <v>1</v>
      </c>
      <c r="J445" t="s">
        <v>8</v>
      </c>
      <c r="K445" s="5" t="s">
        <v>38</v>
      </c>
      <c r="L445" s="5" t="s">
        <v>49</v>
      </c>
      <c r="M445" s="5" t="s">
        <v>57</v>
      </c>
      <c r="N445" s="5" t="s">
        <v>58</v>
      </c>
      <c r="O445" s="5" t="s">
        <v>42</v>
      </c>
      <c r="P445" s="5" t="s">
        <v>15</v>
      </c>
      <c r="Q445" s="5" t="s">
        <v>17</v>
      </c>
      <c r="R445" s="5" t="s">
        <v>43</v>
      </c>
      <c r="S445" s="5" t="s">
        <v>21</v>
      </c>
      <c r="T445" s="6" t="s">
        <v>23</v>
      </c>
      <c r="U445" s="6">
        <v>1</v>
      </c>
      <c r="V445" s="6" t="s">
        <v>26</v>
      </c>
      <c r="W445" s="6">
        <v>1</v>
      </c>
      <c r="X445" s="6" t="s">
        <v>46</v>
      </c>
      <c r="Y445">
        <v>0</v>
      </c>
      <c r="Z445" s="5" t="s">
        <v>46</v>
      </c>
      <c r="AA445" s="5" t="s">
        <v>46</v>
      </c>
      <c r="AB445" s="5" t="s">
        <v>74</v>
      </c>
    </row>
    <row r="446" spans="1:28" x14ac:dyDescent="0.35">
      <c r="A446" s="8" t="s">
        <v>832</v>
      </c>
      <c r="B446" s="5" t="s">
        <v>510</v>
      </c>
      <c r="C446">
        <v>1966</v>
      </c>
      <c r="D446">
        <f t="shared" ca="1" si="13"/>
        <v>59</v>
      </c>
      <c r="E446" s="5" t="s">
        <v>6</v>
      </c>
      <c r="F446" t="s">
        <v>29</v>
      </c>
      <c r="G446" t="str">
        <f t="shared" si="12"/>
        <v>&lt;500.000</v>
      </c>
      <c r="H446" t="s">
        <v>30</v>
      </c>
      <c r="I446">
        <v>0</v>
      </c>
      <c r="J446" t="s">
        <v>48</v>
      </c>
      <c r="K446" s="5" t="s">
        <v>38</v>
      </c>
      <c r="L446" s="5" t="s">
        <v>11</v>
      </c>
      <c r="M446" s="5" t="s">
        <v>40</v>
      </c>
      <c r="N446" s="5" t="s">
        <v>37</v>
      </c>
      <c r="O446" s="5" t="s">
        <v>42</v>
      </c>
      <c r="P446" s="5" t="s">
        <v>15</v>
      </c>
      <c r="Q446" s="5" t="s">
        <v>17</v>
      </c>
      <c r="R446" s="5" t="s">
        <v>43</v>
      </c>
      <c r="S446" s="5" t="s">
        <v>21</v>
      </c>
      <c r="T446" s="6" t="s">
        <v>92</v>
      </c>
      <c r="U446" s="6">
        <v>1</v>
      </c>
      <c r="V446" s="6" t="s">
        <v>117</v>
      </c>
      <c r="W446" s="6">
        <v>1</v>
      </c>
      <c r="X446" s="6" t="s">
        <v>46</v>
      </c>
      <c r="Y446">
        <v>0</v>
      </c>
      <c r="Z446" s="5" t="s">
        <v>46</v>
      </c>
      <c r="AA446" s="5" t="s">
        <v>46</v>
      </c>
      <c r="AB446" s="5" t="s">
        <v>74</v>
      </c>
    </row>
    <row r="447" spans="1:28" x14ac:dyDescent="0.35">
      <c r="A447" s="8" t="s">
        <v>833</v>
      </c>
      <c r="B447" s="5" t="s">
        <v>277</v>
      </c>
      <c r="C447">
        <v>1976</v>
      </c>
      <c r="D447">
        <f t="shared" ca="1" si="13"/>
        <v>49</v>
      </c>
      <c r="E447" s="5" t="s">
        <v>6</v>
      </c>
      <c r="F447" t="s">
        <v>54</v>
      </c>
      <c r="G447" t="str">
        <f t="shared" si="12"/>
        <v>500.000–1.000.000</v>
      </c>
      <c r="H447" t="s">
        <v>7</v>
      </c>
      <c r="I447">
        <v>2</v>
      </c>
      <c r="J447" t="s">
        <v>8</v>
      </c>
      <c r="K447" s="5" t="s">
        <v>38</v>
      </c>
      <c r="L447" s="5" t="s">
        <v>11</v>
      </c>
      <c r="M447" s="5" t="s">
        <v>57</v>
      </c>
      <c r="N447" s="5" t="s">
        <v>58</v>
      </c>
      <c r="O447" s="5" t="s">
        <v>42</v>
      </c>
      <c r="P447" s="5" t="s">
        <v>15</v>
      </c>
      <c r="Q447" s="5" t="s">
        <v>17</v>
      </c>
      <c r="R447" s="5" t="s">
        <v>43</v>
      </c>
      <c r="S447" s="5" t="s">
        <v>21</v>
      </c>
      <c r="T447" s="6" t="s">
        <v>73</v>
      </c>
      <c r="U447" s="6">
        <v>0</v>
      </c>
      <c r="V447" s="6" t="s">
        <v>73</v>
      </c>
      <c r="W447" s="6">
        <v>0</v>
      </c>
      <c r="X447" s="6" t="s">
        <v>46</v>
      </c>
      <c r="Y447">
        <v>0</v>
      </c>
      <c r="Z447" s="5" t="s">
        <v>46</v>
      </c>
      <c r="AA447" s="5" t="s">
        <v>46</v>
      </c>
      <c r="AB447" s="5" t="s">
        <v>46</v>
      </c>
    </row>
    <row r="448" spans="1:28" x14ac:dyDescent="0.35">
      <c r="A448" s="8" t="s">
        <v>834</v>
      </c>
      <c r="B448" s="5" t="s">
        <v>511</v>
      </c>
      <c r="C448">
        <v>1980</v>
      </c>
      <c r="D448">
        <f t="shared" ca="1" si="13"/>
        <v>45</v>
      </c>
      <c r="E448" s="5" t="s">
        <v>28</v>
      </c>
      <c r="F448" t="s">
        <v>29</v>
      </c>
      <c r="G448" t="str">
        <f t="shared" si="12"/>
        <v>&lt;500.000</v>
      </c>
      <c r="H448" t="s">
        <v>63</v>
      </c>
      <c r="I448">
        <v>2</v>
      </c>
      <c r="J448" t="s">
        <v>8</v>
      </c>
      <c r="K448" s="5" t="s">
        <v>38</v>
      </c>
      <c r="L448" s="5" t="s">
        <v>11</v>
      </c>
      <c r="M448" s="5" t="s">
        <v>57</v>
      </c>
      <c r="N448" s="5" t="s">
        <v>58</v>
      </c>
      <c r="O448" s="5" t="s">
        <v>42</v>
      </c>
      <c r="P448" s="5" t="s">
        <v>15</v>
      </c>
      <c r="Q448" s="5" t="s">
        <v>17</v>
      </c>
      <c r="R448" s="5" t="s">
        <v>43</v>
      </c>
      <c r="S448" s="5" t="s">
        <v>21</v>
      </c>
      <c r="T448" s="6" t="s">
        <v>73</v>
      </c>
      <c r="U448" s="6">
        <v>0</v>
      </c>
      <c r="V448" s="6" t="s">
        <v>73</v>
      </c>
      <c r="W448" s="6">
        <v>0</v>
      </c>
      <c r="X448" s="6" t="s">
        <v>46</v>
      </c>
      <c r="Y448">
        <v>0</v>
      </c>
      <c r="Z448" s="5" t="s">
        <v>46</v>
      </c>
      <c r="AA448" s="5" t="s">
        <v>46</v>
      </c>
      <c r="AB448" s="5" t="s">
        <v>46</v>
      </c>
    </row>
    <row r="449" spans="1:28" x14ac:dyDescent="0.35">
      <c r="A449" s="8" t="s">
        <v>835</v>
      </c>
      <c r="B449" s="5" t="s">
        <v>512</v>
      </c>
      <c r="C449">
        <v>1980</v>
      </c>
      <c r="D449">
        <f t="shared" ca="1" si="13"/>
        <v>45</v>
      </c>
      <c r="E449" s="5" t="s">
        <v>6</v>
      </c>
      <c r="F449" t="s">
        <v>55</v>
      </c>
      <c r="G449" t="str">
        <f t="shared" ref="G449:G484" si="14">IF(OR(
    F449="Tidak bekerja",
    F449="Pekerja keluarga/Tidak dibayar"),
    IF(OR(H449="Tidak Sekolah", H449="SD"), "&lt;500.000", "500.000–1.000.000"),
IF(OR(
    F449="Pekerja Bebas Pertanian",
    F449="Pekerja Bebas non-Pertanian"),
    IF(OR(H449="Tidak Sekolah", H449="SD", H449="SMP"), "500.000–1.000.000", "1.000.000–2.000.000"),
IF(F449="Buruh/Karyawan/Pegawai Swasta",
    IF(OR(H449="SD", H449="SMP"), "500.000–1.000.000",
       IF(OR(H449="SMA/SMK", H449="D1/2/3"), "1.000.000–2.000.000", "2.000.000–3.000.000")
    ),
IF(F449="Berusaha Sendiri",
    IF(OR(H449="SD", H449="SMP"), "500.000–1.000.000", "1.000.000–2.000.000"),
IF(F449="Berusaha dibantu buruh tidak tetap/Tidak dibayar", "1.000.000–2.000.000",
IF(F449="Berusaha dibantu buruh tetap/Dibayar", "2.000.000–3.000.000",
IF(F449="PNS/TNI/Polri/BUMN/BUMD/Anggota Legislatif", "2.000.000–3.000.000",
""
)))))))</f>
        <v>1.000.000–2.000.000</v>
      </c>
      <c r="H449" t="s">
        <v>63</v>
      </c>
      <c r="I449">
        <v>1</v>
      </c>
      <c r="J449" t="s">
        <v>8</v>
      </c>
      <c r="K449" s="5" t="s">
        <v>114</v>
      </c>
      <c r="L449" s="5" t="s">
        <v>11</v>
      </c>
      <c r="M449" s="5" t="s">
        <v>57</v>
      </c>
      <c r="N449" s="5" t="s">
        <v>58</v>
      </c>
      <c r="O449" s="5" t="s">
        <v>89</v>
      </c>
      <c r="P449" s="5" t="s">
        <v>15</v>
      </c>
      <c r="Q449" s="5" t="s">
        <v>17</v>
      </c>
      <c r="R449" s="5" t="s">
        <v>43</v>
      </c>
      <c r="S449" s="5" t="s">
        <v>21</v>
      </c>
      <c r="T449" s="6" t="s">
        <v>73</v>
      </c>
      <c r="U449" s="6">
        <v>0</v>
      </c>
      <c r="V449" s="6" t="s">
        <v>73</v>
      </c>
      <c r="W449" s="6">
        <v>0</v>
      </c>
      <c r="X449" s="6" t="s">
        <v>46</v>
      </c>
      <c r="Y449">
        <v>1</v>
      </c>
      <c r="Z449" s="5" t="s">
        <v>46</v>
      </c>
      <c r="AA449" s="5" t="s">
        <v>46</v>
      </c>
      <c r="AB449" s="5" t="s">
        <v>46</v>
      </c>
    </row>
    <row r="450" spans="1:28" x14ac:dyDescent="0.35">
      <c r="A450" s="8" t="s">
        <v>836</v>
      </c>
      <c r="B450" s="5" t="s">
        <v>513</v>
      </c>
      <c r="C450">
        <v>1989</v>
      </c>
      <c r="D450">
        <f t="shared" ca="1" si="13"/>
        <v>36</v>
      </c>
      <c r="E450" s="5" t="s">
        <v>28</v>
      </c>
      <c r="F450" t="s">
        <v>29</v>
      </c>
      <c r="G450" t="str">
        <f t="shared" si="14"/>
        <v>&lt;500.000</v>
      </c>
      <c r="H450" t="s">
        <v>63</v>
      </c>
      <c r="I450">
        <v>1</v>
      </c>
      <c r="J450" t="s">
        <v>8</v>
      </c>
      <c r="K450" s="5" t="s">
        <v>114</v>
      </c>
      <c r="L450" s="5" t="s">
        <v>11</v>
      </c>
      <c r="M450" s="5" t="s">
        <v>57</v>
      </c>
      <c r="N450" s="5" t="s">
        <v>58</v>
      </c>
      <c r="O450" s="5" t="s">
        <v>89</v>
      </c>
      <c r="P450" s="5" t="s">
        <v>15</v>
      </c>
      <c r="Q450" s="5" t="s">
        <v>17</v>
      </c>
      <c r="R450" s="5" t="s">
        <v>43</v>
      </c>
      <c r="S450" s="5" t="s">
        <v>21</v>
      </c>
      <c r="T450" s="6" t="s">
        <v>73</v>
      </c>
      <c r="U450" s="6">
        <v>0</v>
      </c>
      <c r="V450" s="6" t="s">
        <v>73</v>
      </c>
      <c r="W450" s="6">
        <v>0</v>
      </c>
      <c r="X450" s="6" t="s">
        <v>46</v>
      </c>
      <c r="Y450">
        <v>1</v>
      </c>
      <c r="Z450" s="5" t="s">
        <v>46</v>
      </c>
      <c r="AA450" s="5" t="s">
        <v>46</v>
      </c>
      <c r="AB450" s="5" t="s">
        <v>46</v>
      </c>
    </row>
    <row r="451" spans="1:28" x14ac:dyDescent="0.35">
      <c r="A451" s="8" t="s">
        <v>837</v>
      </c>
      <c r="B451" s="5" t="s">
        <v>514</v>
      </c>
      <c r="C451">
        <v>1983</v>
      </c>
      <c r="D451">
        <f t="shared" ca="1" si="13"/>
        <v>42</v>
      </c>
      <c r="E451" s="5" t="s">
        <v>6</v>
      </c>
      <c r="F451" t="s">
        <v>137</v>
      </c>
      <c r="G451" t="str">
        <f t="shared" si="14"/>
        <v>1.000.000–2.000.000</v>
      </c>
      <c r="H451" t="s">
        <v>139</v>
      </c>
      <c r="I451">
        <v>3</v>
      </c>
      <c r="J451" t="s">
        <v>72</v>
      </c>
      <c r="K451" s="5" t="s">
        <v>38</v>
      </c>
      <c r="L451" s="5" t="s">
        <v>11</v>
      </c>
      <c r="M451" s="5" t="s">
        <v>40</v>
      </c>
      <c r="N451" s="5" t="s">
        <v>37</v>
      </c>
      <c r="O451" s="5" t="s">
        <v>42</v>
      </c>
      <c r="P451" s="5" t="s">
        <v>15</v>
      </c>
      <c r="Q451" s="5" t="s">
        <v>17</v>
      </c>
      <c r="R451" s="5" t="s">
        <v>43</v>
      </c>
      <c r="S451" s="5" t="s">
        <v>21</v>
      </c>
      <c r="T451" s="6" t="s">
        <v>23</v>
      </c>
      <c r="U451" s="6">
        <v>1</v>
      </c>
      <c r="V451" s="6" t="s">
        <v>52</v>
      </c>
      <c r="W451" s="6">
        <v>1</v>
      </c>
      <c r="X451" s="6" t="s">
        <v>44</v>
      </c>
      <c r="Y451">
        <v>2</v>
      </c>
      <c r="Z451" s="5" t="s">
        <v>46</v>
      </c>
      <c r="AA451" s="5" t="s">
        <v>46</v>
      </c>
      <c r="AB451" s="5" t="s">
        <v>46</v>
      </c>
    </row>
    <row r="452" spans="1:28" x14ac:dyDescent="0.35">
      <c r="A452" s="8" t="s">
        <v>838</v>
      </c>
      <c r="B452" s="5" t="s">
        <v>515</v>
      </c>
      <c r="C452">
        <v>1984</v>
      </c>
      <c r="D452">
        <f t="shared" ca="1" si="13"/>
        <v>41</v>
      </c>
      <c r="E452" s="5" t="s">
        <v>28</v>
      </c>
      <c r="F452" t="s">
        <v>54</v>
      </c>
      <c r="G452" t="str">
        <f t="shared" si="14"/>
        <v>2.000.000–3.000.000</v>
      </c>
      <c r="H452" t="s">
        <v>516</v>
      </c>
      <c r="I452">
        <v>3</v>
      </c>
      <c r="J452" t="s">
        <v>72</v>
      </c>
      <c r="K452" s="5" t="s">
        <v>38</v>
      </c>
      <c r="L452" s="5" t="s">
        <v>11</v>
      </c>
      <c r="M452" s="5" t="s">
        <v>40</v>
      </c>
      <c r="N452" s="5" t="s">
        <v>37</v>
      </c>
      <c r="O452" s="5" t="s">
        <v>42</v>
      </c>
      <c r="P452" s="5" t="s">
        <v>15</v>
      </c>
      <c r="Q452" s="5" t="s">
        <v>17</v>
      </c>
      <c r="R452" s="5" t="s">
        <v>43</v>
      </c>
      <c r="S452" s="5" t="s">
        <v>21</v>
      </c>
      <c r="T452" s="6" t="s">
        <v>23</v>
      </c>
      <c r="U452" s="6">
        <v>1</v>
      </c>
      <c r="V452" s="6" t="s">
        <v>52</v>
      </c>
      <c r="W452" s="6">
        <v>1</v>
      </c>
      <c r="X452" s="6" t="s">
        <v>44</v>
      </c>
      <c r="Y452">
        <v>2</v>
      </c>
      <c r="Z452" s="5" t="s">
        <v>46</v>
      </c>
      <c r="AA452" s="5" t="s">
        <v>46</v>
      </c>
      <c r="AB452" s="5" t="s">
        <v>46</v>
      </c>
    </row>
    <row r="453" spans="1:28" x14ac:dyDescent="0.35">
      <c r="A453" s="8" t="s">
        <v>839</v>
      </c>
      <c r="B453" s="5" t="s">
        <v>517</v>
      </c>
      <c r="C453">
        <v>1943</v>
      </c>
      <c r="D453">
        <f t="shared" ref="D453:D483" ca="1" si="15">YEAR(TODAY()) - C453</f>
        <v>82</v>
      </c>
      <c r="E453" s="5" t="s">
        <v>6</v>
      </c>
      <c r="F453" t="s">
        <v>55</v>
      </c>
      <c r="G453" t="str">
        <f t="shared" si="14"/>
        <v>500.000–1.000.000</v>
      </c>
      <c r="H453" t="s">
        <v>30</v>
      </c>
      <c r="I453">
        <v>0</v>
      </c>
      <c r="J453" t="s">
        <v>8</v>
      </c>
      <c r="K453" s="5" t="s">
        <v>38</v>
      </c>
      <c r="L453" s="5" t="s">
        <v>11</v>
      </c>
      <c r="M453" s="5" t="s">
        <v>57</v>
      </c>
      <c r="N453" s="5" t="s">
        <v>58</v>
      </c>
      <c r="O453" s="5" t="s">
        <v>42</v>
      </c>
      <c r="P453" s="5" t="s">
        <v>15</v>
      </c>
      <c r="Q453" s="5" t="s">
        <v>17</v>
      </c>
      <c r="R453" s="5" t="s">
        <v>43</v>
      </c>
      <c r="S453" s="5" t="s">
        <v>21</v>
      </c>
      <c r="T453" s="6" t="s">
        <v>84</v>
      </c>
      <c r="U453" s="6">
        <v>1</v>
      </c>
      <c r="V453" s="6" t="s">
        <v>26</v>
      </c>
      <c r="W453" s="6">
        <v>1</v>
      </c>
      <c r="X453" s="6" t="s">
        <v>44</v>
      </c>
      <c r="Y453">
        <v>0</v>
      </c>
      <c r="Z453" s="5" t="s">
        <v>46</v>
      </c>
      <c r="AA453" s="5" t="s">
        <v>44</v>
      </c>
      <c r="AB453" s="5" t="s">
        <v>35</v>
      </c>
    </row>
    <row r="454" spans="1:28" x14ac:dyDescent="0.35">
      <c r="A454" s="8" t="s">
        <v>840</v>
      </c>
      <c r="B454" s="5" t="s">
        <v>418</v>
      </c>
      <c r="C454">
        <v>1992</v>
      </c>
      <c r="D454">
        <f t="shared" ca="1" si="15"/>
        <v>33</v>
      </c>
      <c r="E454" s="5" t="s">
        <v>6</v>
      </c>
      <c r="F454" t="s">
        <v>54</v>
      </c>
      <c r="G454" t="str">
        <f t="shared" si="14"/>
        <v>500.000–1.000.000</v>
      </c>
      <c r="H454" t="s">
        <v>30</v>
      </c>
      <c r="I454">
        <v>2</v>
      </c>
      <c r="J454" t="s">
        <v>8</v>
      </c>
      <c r="K454" s="5" t="s">
        <v>38</v>
      </c>
      <c r="L454" s="5" t="s">
        <v>11</v>
      </c>
      <c r="M454" s="5" t="s">
        <v>40</v>
      </c>
      <c r="N454" s="5" t="s">
        <v>37</v>
      </c>
      <c r="O454" s="5" t="s">
        <v>42</v>
      </c>
      <c r="P454" s="5" t="s">
        <v>133</v>
      </c>
      <c r="Q454" s="5" t="s">
        <v>17</v>
      </c>
      <c r="R454" s="5" t="s">
        <v>43</v>
      </c>
      <c r="S454" s="5" t="s">
        <v>21</v>
      </c>
      <c r="T454" s="6" t="s">
        <v>23</v>
      </c>
      <c r="U454" s="6">
        <v>1</v>
      </c>
      <c r="V454" s="6" t="s">
        <v>26</v>
      </c>
      <c r="W454" s="6">
        <v>1</v>
      </c>
      <c r="X454" s="6" t="s">
        <v>46</v>
      </c>
      <c r="Y454">
        <v>1</v>
      </c>
      <c r="Z454" s="5" t="s">
        <v>44</v>
      </c>
      <c r="AA454" s="5" t="s">
        <v>46</v>
      </c>
      <c r="AB454" s="5" t="s">
        <v>46</v>
      </c>
    </row>
    <row r="455" spans="1:28" x14ac:dyDescent="0.35">
      <c r="A455" s="8" t="s">
        <v>841</v>
      </c>
      <c r="B455" s="5" t="s">
        <v>518</v>
      </c>
      <c r="C455">
        <v>1985</v>
      </c>
      <c r="D455">
        <f t="shared" ca="1" si="15"/>
        <v>40</v>
      </c>
      <c r="E455" s="5" t="s">
        <v>28</v>
      </c>
      <c r="F455" t="s">
        <v>137</v>
      </c>
      <c r="G455" t="str">
        <f t="shared" si="14"/>
        <v>500.000–1.000.000</v>
      </c>
      <c r="H455" t="s">
        <v>30</v>
      </c>
      <c r="I455">
        <v>2</v>
      </c>
      <c r="J455" t="s">
        <v>8</v>
      </c>
      <c r="K455" s="5" t="s">
        <v>38</v>
      </c>
      <c r="L455" s="5" t="s">
        <v>11</v>
      </c>
      <c r="M455" s="5" t="s">
        <v>40</v>
      </c>
      <c r="N455" s="5" t="s">
        <v>37</v>
      </c>
      <c r="O455" s="5" t="s">
        <v>42</v>
      </c>
      <c r="P455" s="5" t="s">
        <v>133</v>
      </c>
      <c r="Q455" s="5" t="s">
        <v>17</v>
      </c>
      <c r="R455" s="5" t="s">
        <v>43</v>
      </c>
      <c r="S455" s="5" t="s">
        <v>21</v>
      </c>
      <c r="T455" s="6" t="s">
        <v>23</v>
      </c>
      <c r="U455" s="6">
        <v>1</v>
      </c>
      <c r="V455" s="6" t="s">
        <v>26</v>
      </c>
      <c r="W455" s="6">
        <v>1</v>
      </c>
      <c r="X455" s="6" t="s">
        <v>46</v>
      </c>
      <c r="Y455">
        <v>1</v>
      </c>
      <c r="Z455" s="5" t="s">
        <v>44</v>
      </c>
      <c r="AA455" s="5" t="s">
        <v>46</v>
      </c>
      <c r="AB455" s="5" t="s">
        <v>46</v>
      </c>
    </row>
    <row r="456" spans="1:28" x14ac:dyDescent="0.35">
      <c r="A456" s="8" t="s">
        <v>842</v>
      </c>
      <c r="B456" s="5" t="s">
        <v>519</v>
      </c>
      <c r="C456">
        <v>1994</v>
      </c>
      <c r="D456">
        <f t="shared" ca="1" si="15"/>
        <v>31</v>
      </c>
      <c r="E456" s="5" t="s">
        <v>6</v>
      </c>
      <c r="F456" t="s">
        <v>29</v>
      </c>
      <c r="G456" t="str">
        <f t="shared" si="14"/>
        <v>&lt;500.000</v>
      </c>
      <c r="H456" t="s">
        <v>63</v>
      </c>
      <c r="I456">
        <v>2</v>
      </c>
      <c r="J456" t="s">
        <v>72</v>
      </c>
      <c r="K456" s="5" t="s">
        <v>38</v>
      </c>
      <c r="L456" s="5" t="s">
        <v>11</v>
      </c>
      <c r="M456" s="5" t="s">
        <v>57</v>
      </c>
      <c r="N456" s="5" t="s">
        <v>58</v>
      </c>
      <c r="O456" s="5" t="s">
        <v>42</v>
      </c>
      <c r="P456" s="5" t="s">
        <v>15</v>
      </c>
      <c r="Q456" s="5" t="s">
        <v>17</v>
      </c>
      <c r="R456" s="5" t="s">
        <v>43</v>
      </c>
      <c r="S456" s="5" t="s">
        <v>21</v>
      </c>
      <c r="T456" s="6" t="s">
        <v>73</v>
      </c>
      <c r="U456" s="6">
        <v>0</v>
      </c>
      <c r="V456" s="6" t="s">
        <v>73</v>
      </c>
      <c r="W456" s="6">
        <v>0</v>
      </c>
      <c r="X456" s="6" t="s">
        <v>46</v>
      </c>
      <c r="Y456">
        <v>1</v>
      </c>
      <c r="Z456" s="5" t="s">
        <v>44</v>
      </c>
      <c r="AA456" s="5" t="s">
        <v>46</v>
      </c>
      <c r="AB456" s="5" t="s">
        <v>46</v>
      </c>
    </row>
    <row r="457" spans="1:28" x14ac:dyDescent="0.35">
      <c r="A457" s="8" t="s">
        <v>843</v>
      </c>
      <c r="B457" s="5" t="s">
        <v>520</v>
      </c>
      <c r="C457">
        <v>1998</v>
      </c>
      <c r="D457">
        <f t="shared" ca="1" si="15"/>
        <v>27</v>
      </c>
      <c r="E457" s="5" t="s">
        <v>28</v>
      </c>
      <c r="F457" t="s">
        <v>29</v>
      </c>
      <c r="G457" t="str">
        <f t="shared" si="14"/>
        <v>&lt;500.000</v>
      </c>
      <c r="H457" t="s">
        <v>63</v>
      </c>
      <c r="I457">
        <v>2</v>
      </c>
      <c r="J457" t="s">
        <v>72</v>
      </c>
      <c r="K457" s="5" t="s">
        <v>38</v>
      </c>
      <c r="L457" s="5" t="s">
        <v>11</v>
      </c>
      <c r="M457" s="5" t="s">
        <v>57</v>
      </c>
      <c r="N457" s="5" t="s">
        <v>58</v>
      </c>
      <c r="O457" s="5" t="s">
        <v>42</v>
      </c>
      <c r="P457" s="5" t="s">
        <v>15</v>
      </c>
      <c r="Q457" s="5" t="s">
        <v>17</v>
      </c>
      <c r="R457" s="5" t="s">
        <v>43</v>
      </c>
      <c r="S457" s="5" t="s">
        <v>21</v>
      </c>
      <c r="T457" s="6" t="s">
        <v>73</v>
      </c>
      <c r="U457" s="6">
        <v>0</v>
      </c>
      <c r="V457" s="6" t="s">
        <v>73</v>
      </c>
      <c r="W457" s="6">
        <v>0</v>
      </c>
      <c r="X457" s="6" t="s">
        <v>46</v>
      </c>
      <c r="Y457">
        <v>1</v>
      </c>
      <c r="Z457" s="5" t="s">
        <v>44</v>
      </c>
      <c r="AA457" s="5" t="s">
        <v>46</v>
      </c>
      <c r="AB457" s="5" t="s">
        <v>46</v>
      </c>
    </row>
    <row r="458" spans="1:28" x14ac:dyDescent="0.35">
      <c r="A458" s="8" t="s">
        <v>844</v>
      </c>
      <c r="B458" s="5" t="s">
        <v>521</v>
      </c>
      <c r="C458">
        <v>1975</v>
      </c>
      <c r="D458">
        <f t="shared" ca="1" si="15"/>
        <v>50</v>
      </c>
      <c r="E458" s="5" t="s">
        <v>6</v>
      </c>
      <c r="F458" t="s">
        <v>54</v>
      </c>
      <c r="G458" t="str">
        <f t="shared" si="14"/>
        <v>1.000.000–2.000.000</v>
      </c>
      <c r="H458" t="s">
        <v>139</v>
      </c>
      <c r="I458">
        <v>3</v>
      </c>
      <c r="J458" t="s">
        <v>8</v>
      </c>
      <c r="K458" s="5" t="s">
        <v>38</v>
      </c>
      <c r="L458" s="5" t="s">
        <v>11</v>
      </c>
      <c r="M458" s="5" t="s">
        <v>57</v>
      </c>
      <c r="N458" s="5" t="s">
        <v>58</v>
      </c>
      <c r="O458" s="5" t="s">
        <v>42</v>
      </c>
      <c r="P458" s="5" t="s">
        <v>15</v>
      </c>
      <c r="Q458" s="5" t="s">
        <v>17</v>
      </c>
      <c r="R458" s="5" t="s">
        <v>43</v>
      </c>
      <c r="S458" s="5" t="s">
        <v>21</v>
      </c>
      <c r="T458" s="6" t="s">
        <v>23</v>
      </c>
      <c r="U458" s="6">
        <v>1</v>
      </c>
      <c r="V458" s="6" t="s">
        <v>26</v>
      </c>
      <c r="W458" s="6">
        <v>1</v>
      </c>
      <c r="X458" s="6" t="s">
        <v>46</v>
      </c>
      <c r="Y458">
        <v>2</v>
      </c>
      <c r="Z458" s="5" t="s">
        <v>46</v>
      </c>
      <c r="AA458" s="5" t="s">
        <v>46</v>
      </c>
      <c r="AB458" s="5" t="s">
        <v>46</v>
      </c>
    </row>
    <row r="459" spans="1:28" x14ac:dyDescent="0.35">
      <c r="A459" s="8" t="s">
        <v>845</v>
      </c>
      <c r="B459" s="5" t="s">
        <v>522</v>
      </c>
      <c r="C459">
        <v>1983</v>
      </c>
      <c r="D459">
        <f t="shared" ca="1" si="15"/>
        <v>42</v>
      </c>
      <c r="E459" s="5" t="s">
        <v>28</v>
      </c>
      <c r="F459" t="s">
        <v>29</v>
      </c>
      <c r="G459" t="str">
        <f t="shared" si="14"/>
        <v>500.000–1.000.000</v>
      </c>
      <c r="H459" t="s">
        <v>139</v>
      </c>
      <c r="I459">
        <v>3</v>
      </c>
      <c r="J459" t="s">
        <v>8</v>
      </c>
      <c r="K459" s="5" t="s">
        <v>38</v>
      </c>
      <c r="L459" s="5" t="s">
        <v>11</v>
      </c>
      <c r="M459" s="5" t="s">
        <v>57</v>
      </c>
      <c r="N459" s="5" t="s">
        <v>58</v>
      </c>
      <c r="O459" s="5" t="s">
        <v>42</v>
      </c>
      <c r="P459" s="5" t="s">
        <v>15</v>
      </c>
      <c r="Q459" s="5" t="s">
        <v>17</v>
      </c>
      <c r="R459" s="5" t="s">
        <v>43</v>
      </c>
      <c r="S459" s="5" t="s">
        <v>21</v>
      </c>
      <c r="T459" s="6" t="s">
        <v>23</v>
      </c>
      <c r="U459" s="6">
        <v>1</v>
      </c>
      <c r="V459" s="6" t="s">
        <v>26</v>
      </c>
      <c r="W459" s="6">
        <v>1</v>
      </c>
      <c r="X459" s="6" t="s">
        <v>46</v>
      </c>
      <c r="Y459">
        <v>2</v>
      </c>
      <c r="Z459" s="5" t="s">
        <v>46</v>
      </c>
      <c r="AA459" s="5" t="s">
        <v>46</v>
      </c>
      <c r="AB459" s="5" t="s">
        <v>46</v>
      </c>
    </row>
    <row r="460" spans="1:28" x14ac:dyDescent="0.35">
      <c r="A460" s="8" t="s">
        <v>846</v>
      </c>
      <c r="B460" s="5" t="s">
        <v>523</v>
      </c>
      <c r="C460">
        <v>1977</v>
      </c>
      <c r="D460">
        <f t="shared" ca="1" si="15"/>
        <v>48</v>
      </c>
      <c r="E460" s="5" t="s">
        <v>6</v>
      </c>
      <c r="F460" t="s">
        <v>137</v>
      </c>
      <c r="G460" t="str">
        <f t="shared" si="14"/>
        <v>500.000–1.000.000</v>
      </c>
      <c r="H460" t="s">
        <v>7</v>
      </c>
      <c r="I460">
        <v>2</v>
      </c>
      <c r="J460" t="s">
        <v>8</v>
      </c>
      <c r="K460" s="5" t="s">
        <v>38</v>
      </c>
      <c r="L460" s="5" t="s">
        <v>11</v>
      </c>
      <c r="M460" s="5" t="s">
        <v>57</v>
      </c>
      <c r="N460" s="5" t="s">
        <v>58</v>
      </c>
      <c r="O460" s="5" t="s">
        <v>42</v>
      </c>
      <c r="P460" s="5" t="s">
        <v>15</v>
      </c>
      <c r="Q460" s="5" t="s">
        <v>17</v>
      </c>
      <c r="R460" s="5" t="s">
        <v>43</v>
      </c>
      <c r="S460" s="5" t="s">
        <v>21</v>
      </c>
      <c r="T460" s="6" t="s">
        <v>23</v>
      </c>
      <c r="U460" s="6">
        <v>1</v>
      </c>
      <c r="V460" s="6" t="s">
        <v>249</v>
      </c>
      <c r="W460" s="6">
        <v>1</v>
      </c>
      <c r="X460" s="6" t="s">
        <v>46</v>
      </c>
      <c r="Y460">
        <v>1</v>
      </c>
      <c r="Z460" s="5" t="s">
        <v>46</v>
      </c>
      <c r="AA460" s="5" t="s">
        <v>46</v>
      </c>
      <c r="AB460" s="5" t="s">
        <v>46</v>
      </c>
    </row>
    <row r="461" spans="1:28" x14ac:dyDescent="0.35">
      <c r="A461" s="8" t="s">
        <v>847</v>
      </c>
      <c r="B461" s="5" t="s">
        <v>524</v>
      </c>
      <c r="C461">
        <v>1982</v>
      </c>
      <c r="D461">
        <f t="shared" ca="1" si="15"/>
        <v>43</v>
      </c>
      <c r="E461" s="5" t="s">
        <v>28</v>
      </c>
      <c r="F461" t="s">
        <v>29</v>
      </c>
      <c r="G461" t="str">
        <f t="shared" si="14"/>
        <v>500.000–1.000.000</v>
      </c>
      <c r="H461" t="s">
        <v>7</v>
      </c>
      <c r="I461">
        <v>2</v>
      </c>
      <c r="J461" t="s">
        <v>8</v>
      </c>
      <c r="K461" s="5" t="s">
        <v>38</v>
      </c>
      <c r="L461" s="5" t="s">
        <v>11</v>
      </c>
      <c r="M461" s="5" t="s">
        <v>57</v>
      </c>
      <c r="N461" s="5" t="s">
        <v>58</v>
      </c>
      <c r="O461" s="5" t="s">
        <v>42</v>
      </c>
      <c r="P461" s="5" t="s">
        <v>15</v>
      </c>
      <c r="Q461" s="5" t="s">
        <v>17</v>
      </c>
      <c r="R461" s="5" t="s">
        <v>43</v>
      </c>
      <c r="S461" s="5" t="s">
        <v>21</v>
      </c>
      <c r="T461" s="6" t="s">
        <v>23</v>
      </c>
      <c r="U461" s="6">
        <v>1</v>
      </c>
      <c r="V461" s="6" t="s">
        <v>249</v>
      </c>
      <c r="W461" s="6">
        <v>1</v>
      </c>
      <c r="X461" s="6" t="s">
        <v>46</v>
      </c>
      <c r="Y461">
        <v>1</v>
      </c>
      <c r="Z461" s="5" t="s">
        <v>46</v>
      </c>
      <c r="AA461" s="5" t="s">
        <v>46</v>
      </c>
      <c r="AB461" s="5" t="s">
        <v>46</v>
      </c>
    </row>
    <row r="462" spans="1:28" x14ac:dyDescent="0.35">
      <c r="A462" s="8" t="s">
        <v>848</v>
      </c>
      <c r="B462" s="5" t="s">
        <v>525</v>
      </c>
      <c r="C462">
        <v>1984</v>
      </c>
      <c r="D462">
        <f t="shared" ca="1" si="15"/>
        <v>41</v>
      </c>
      <c r="E462" s="5" t="s">
        <v>6</v>
      </c>
      <c r="F462" t="s">
        <v>29</v>
      </c>
      <c r="G462" t="str">
        <f t="shared" si="14"/>
        <v>&lt;500.000</v>
      </c>
      <c r="H462" t="s">
        <v>63</v>
      </c>
      <c r="I462">
        <v>2</v>
      </c>
      <c r="J462" t="s">
        <v>8</v>
      </c>
      <c r="K462" s="5" t="s">
        <v>38</v>
      </c>
      <c r="L462" s="5" t="s">
        <v>11</v>
      </c>
      <c r="M462" s="5" t="s">
        <v>57</v>
      </c>
      <c r="N462" s="5" t="s">
        <v>58</v>
      </c>
      <c r="O462" s="5" t="s">
        <v>89</v>
      </c>
      <c r="P462" s="5" t="s">
        <v>15</v>
      </c>
      <c r="Q462" s="5" t="s">
        <v>17</v>
      </c>
      <c r="R462" s="5" t="s">
        <v>43</v>
      </c>
      <c r="S462" s="5" t="s">
        <v>21</v>
      </c>
      <c r="T462" s="6" t="s">
        <v>73</v>
      </c>
      <c r="U462" s="6">
        <v>0</v>
      </c>
      <c r="V462" s="6" t="s">
        <v>73</v>
      </c>
      <c r="W462" s="6">
        <v>0</v>
      </c>
      <c r="X462" s="6" t="s">
        <v>46</v>
      </c>
      <c r="Y462">
        <v>2</v>
      </c>
      <c r="Z462" s="5" t="s">
        <v>46</v>
      </c>
      <c r="AA462" s="5" t="s">
        <v>46</v>
      </c>
      <c r="AB462" s="5" t="s">
        <v>46</v>
      </c>
    </row>
    <row r="463" spans="1:28" x14ac:dyDescent="0.35">
      <c r="A463" s="8" t="s">
        <v>849</v>
      </c>
      <c r="B463" s="5" t="s">
        <v>526</v>
      </c>
      <c r="C463">
        <v>1987</v>
      </c>
      <c r="D463">
        <f t="shared" ca="1" si="15"/>
        <v>38</v>
      </c>
      <c r="E463" s="5" t="s">
        <v>28</v>
      </c>
      <c r="F463" t="s">
        <v>29</v>
      </c>
      <c r="G463" t="str">
        <f t="shared" si="14"/>
        <v>&lt;500.000</v>
      </c>
      <c r="H463" t="s">
        <v>63</v>
      </c>
      <c r="I463">
        <v>2</v>
      </c>
      <c r="J463" t="s">
        <v>8</v>
      </c>
      <c r="K463" s="5" t="s">
        <v>38</v>
      </c>
      <c r="L463" s="5" t="s">
        <v>11</v>
      </c>
      <c r="M463" s="5" t="s">
        <v>57</v>
      </c>
      <c r="N463" s="5" t="s">
        <v>58</v>
      </c>
      <c r="O463" s="5" t="s">
        <v>89</v>
      </c>
      <c r="P463" s="5" t="s">
        <v>15</v>
      </c>
      <c r="Q463" s="5" t="s">
        <v>17</v>
      </c>
      <c r="R463" s="5" t="s">
        <v>43</v>
      </c>
      <c r="S463" s="5" t="s">
        <v>21</v>
      </c>
      <c r="T463" s="6" t="s">
        <v>73</v>
      </c>
      <c r="U463" s="6">
        <v>0</v>
      </c>
      <c r="V463" s="6" t="s">
        <v>73</v>
      </c>
      <c r="W463" s="6">
        <v>0</v>
      </c>
      <c r="X463" s="6" t="s">
        <v>46</v>
      </c>
      <c r="Y463">
        <v>2</v>
      </c>
      <c r="Z463" s="5" t="s">
        <v>46</v>
      </c>
      <c r="AA463" s="5" t="s">
        <v>46</v>
      </c>
      <c r="AB463" s="5" t="s">
        <v>46</v>
      </c>
    </row>
    <row r="464" spans="1:28" x14ac:dyDescent="0.35">
      <c r="A464" s="8" t="s">
        <v>850</v>
      </c>
      <c r="B464" s="5" t="s">
        <v>527</v>
      </c>
      <c r="C464">
        <v>1970</v>
      </c>
      <c r="D464">
        <f t="shared" ca="1" si="15"/>
        <v>55</v>
      </c>
      <c r="E464" s="5" t="s">
        <v>6</v>
      </c>
      <c r="F464" t="s">
        <v>137</v>
      </c>
      <c r="G464" t="str">
        <f t="shared" si="14"/>
        <v>500.000–1.000.000</v>
      </c>
      <c r="H464" t="s">
        <v>7</v>
      </c>
      <c r="I464">
        <v>2</v>
      </c>
      <c r="J464" t="s">
        <v>8</v>
      </c>
      <c r="K464" s="5" t="s">
        <v>114</v>
      </c>
      <c r="L464" s="5" t="s">
        <v>11</v>
      </c>
      <c r="M464" s="5" t="s">
        <v>57</v>
      </c>
      <c r="N464" s="5" t="s">
        <v>58</v>
      </c>
      <c r="O464" s="5" t="s">
        <v>42</v>
      </c>
      <c r="P464" s="5" t="s">
        <v>15</v>
      </c>
      <c r="Q464" s="5" t="s">
        <v>17</v>
      </c>
      <c r="R464" s="5" t="s">
        <v>43</v>
      </c>
      <c r="S464" s="5" t="s">
        <v>21</v>
      </c>
      <c r="T464" s="6" t="s">
        <v>73</v>
      </c>
      <c r="U464" s="6">
        <v>0</v>
      </c>
      <c r="V464" s="6" t="s">
        <v>117</v>
      </c>
      <c r="W464" s="6">
        <v>1</v>
      </c>
      <c r="X464" s="6" t="s">
        <v>46</v>
      </c>
      <c r="Y464">
        <v>2</v>
      </c>
      <c r="Z464" s="5" t="s">
        <v>46</v>
      </c>
      <c r="AA464" s="5" t="s">
        <v>46</v>
      </c>
      <c r="AB464" s="5" t="s">
        <v>46</v>
      </c>
    </row>
    <row r="465" spans="1:28" x14ac:dyDescent="0.35">
      <c r="A465" s="8" t="s">
        <v>851</v>
      </c>
      <c r="B465" s="5" t="s">
        <v>528</v>
      </c>
      <c r="C465">
        <v>1989</v>
      </c>
      <c r="D465">
        <f t="shared" ca="1" si="15"/>
        <v>36</v>
      </c>
      <c r="E465" s="5" t="s">
        <v>6</v>
      </c>
      <c r="F465" t="s">
        <v>54</v>
      </c>
      <c r="G465" t="str">
        <f t="shared" si="14"/>
        <v>500.000–1.000.000</v>
      </c>
      <c r="H465" t="s">
        <v>7</v>
      </c>
      <c r="I465">
        <v>2</v>
      </c>
      <c r="J465" t="s">
        <v>72</v>
      </c>
      <c r="K465" s="5" t="s">
        <v>114</v>
      </c>
      <c r="L465" s="5" t="s">
        <v>11</v>
      </c>
      <c r="M465" s="5" t="s">
        <v>57</v>
      </c>
      <c r="N465" s="5" t="s">
        <v>58</v>
      </c>
      <c r="O465" s="5" t="s">
        <v>42</v>
      </c>
      <c r="P465" s="5" t="s">
        <v>15</v>
      </c>
      <c r="Q465" s="5" t="s">
        <v>17</v>
      </c>
      <c r="R465" s="5" t="s">
        <v>43</v>
      </c>
      <c r="S465" s="5" t="s">
        <v>21</v>
      </c>
      <c r="T465" s="6" t="s">
        <v>84</v>
      </c>
      <c r="U465" s="6">
        <v>1</v>
      </c>
      <c r="V465" s="6" t="s">
        <v>26</v>
      </c>
      <c r="W465" s="6">
        <v>1</v>
      </c>
      <c r="X465" s="6" t="s">
        <v>46</v>
      </c>
      <c r="Y465">
        <v>2</v>
      </c>
      <c r="Z465" s="5" t="s">
        <v>46</v>
      </c>
      <c r="AA465" s="5" t="s">
        <v>46</v>
      </c>
      <c r="AB465" s="5" t="s">
        <v>46</v>
      </c>
    </row>
    <row r="466" spans="1:28" x14ac:dyDescent="0.35">
      <c r="A466" s="8" t="s">
        <v>852</v>
      </c>
      <c r="B466" s="5" t="s">
        <v>529</v>
      </c>
      <c r="C466">
        <v>1950</v>
      </c>
      <c r="D466">
        <f t="shared" ca="1" si="15"/>
        <v>75</v>
      </c>
      <c r="E466" s="5" t="s">
        <v>6</v>
      </c>
      <c r="F466" t="s">
        <v>29</v>
      </c>
      <c r="G466" t="str">
        <f t="shared" si="14"/>
        <v>&lt;500.000</v>
      </c>
      <c r="H466" t="s">
        <v>30</v>
      </c>
      <c r="I466">
        <v>1</v>
      </c>
      <c r="J466" t="s">
        <v>8</v>
      </c>
      <c r="K466" s="5" t="s">
        <v>114</v>
      </c>
      <c r="L466" s="5" t="s">
        <v>11</v>
      </c>
      <c r="M466" s="5" t="s">
        <v>57</v>
      </c>
      <c r="N466" s="5" t="s">
        <v>58</v>
      </c>
      <c r="O466" s="5" t="s">
        <v>42</v>
      </c>
      <c r="P466" s="5" t="s">
        <v>15</v>
      </c>
      <c r="Q466" s="5" t="s">
        <v>17</v>
      </c>
      <c r="R466" s="5" t="s">
        <v>43</v>
      </c>
      <c r="S466" s="5" t="s">
        <v>21</v>
      </c>
      <c r="T466" s="6" t="s">
        <v>73</v>
      </c>
      <c r="U466" s="6">
        <v>0</v>
      </c>
      <c r="V466" s="6" t="s">
        <v>26</v>
      </c>
      <c r="W466" s="6">
        <v>1</v>
      </c>
      <c r="X466" s="6" t="s">
        <v>46</v>
      </c>
      <c r="Y466">
        <v>1</v>
      </c>
      <c r="Z466" s="5" t="s">
        <v>46</v>
      </c>
      <c r="AA466" s="5" t="s">
        <v>44</v>
      </c>
      <c r="AB466" s="5" t="s">
        <v>74</v>
      </c>
    </row>
    <row r="467" spans="1:28" x14ac:dyDescent="0.35">
      <c r="A467" s="8" t="s">
        <v>853</v>
      </c>
      <c r="B467" s="5" t="s">
        <v>530</v>
      </c>
      <c r="C467">
        <v>1970</v>
      </c>
      <c r="D467">
        <f t="shared" ca="1" si="15"/>
        <v>55</v>
      </c>
      <c r="E467" s="5" t="s">
        <v>6</v>
      </c>
      <c r="F467" t="s">
        <v>54</v>
      </c>
      <c r="G467" t="str">
        <f t="shared" si="14"/>
        <v>500.000–1.000.000</v>
      </c>
      <c r="H467" t="s">
        <v>30</v>
      </c>
      <c r="I467">
        <v>2</v>
      </c>
      <c r="J467" t="s">
        <v>8</v>
      </c>
      <c r="K467" s="5" t="s">
        <v>114</v>
      </c>
      <c r="L467" s="5" t="s">
        <v>11</v>
      </c>
      <c r="M467" s="5" t="s">
        <v>57</v>
      </c>
      <c r="N467" s="5" t="s">
        <v>58</v>
      </c>
      <c r="O467" s="5" t="s">
        <v>42</v>
      </c>
      <c r="P467" s="5" t="s">
        <v>15</v>
      </c>
      <c r="Q467" s="5" t="s">
        <v>17</v>
      </c>
      <c r="R467" s="5" t="s">
        <v>43</v>
      </c>
      <c r="S467" s="5" t="s">
        <v>21</v>
      </c>
      <c r="T467" s="6" t="s">
        <v>84</v>
      </c>
      <c r="U467" s="6">
        <v>1</v>
      </c>
      <c r="V467" s="6" t="s">
        <v>26</v>
      </c>
      <c r="W467" s="6">
        <v>1</v>
      </c>
      <c r="X467" s="6" t="s">
        <v>46</v>
      </c>
      <c r="Y467">
        <v>1</v>
      </c>
      <c r="Z467" s="5" t="s">
        <v>46</v>
      </c>
      <c r="AA467" s="5" t="s">
        <v>46</v>
      </c>
      <c r="AB467" s="5" t="s">
        <v>46</v>
      </c>
    </row>
    <row r="468" spans="1:28" x14ac:dyDescent="0.35">
      <c r="A468" s="8" t="s">
        <v>854</v>
      </c>
      <c r="B468" s="5" t="s">
        <v>531</v>
      </c>
      <c r="C468">
        <v>1974</v>
      </c>
      <c r="D468">
        <f t="shared" ca="1" si="15"/>
        <v>51</v>
      </c>
      <c r="E468" s="5" t="s">
        <v>28</v>
      </c>
      <c r="F468" t="s">
        <v>29</v>
      </c>
      <c r="G468" t="str">
        <f t="shared" si="14"/>
        <v>500.000–1.000.000</v>
      </c>
      <c r="H468" t="s">
        <v>7</v>
      </c>
      <c r="I468">
        <v>2</v>
      </c>
      <c r="J468" t="s">
        <v>8</v>
      </c>
      <c r="K468" s="5" t="s">
        <v>114</v>
      </c>
      <c r="L468" s="5" t="s">
        <v>11</v>
      </c>
      <c r="M468" s="5" t="s">
        <v>57</v>
      </c>
      <c r="N468" s="5" t="s">
        <v>58</v>
      </c>
      <c r="O468" s="5" t="s">
        <v>42</v>
      </c>
      <c r="P468" s="5" t="s">
        <v>15</v>
      </c>
      <c r="Q468" s="5" t="s">
        <v>17</v>
      </c>
      <c r="R468" s="5" t="s">
        <v>43</v>
      </c>
      <c r="S468" s="5" t="s">
        <v>21</v>
      </c>
      <c r="T468" s="6" t="s">
        <v>84</v>
      </c>
      <c r="U468" s="6">
        <v>1</v>
      </c>
      <c r="V468" s="6" t="s">
        <v>26</v>
      </c>
      <c r="W468" s="6">
        <v>1</v>
      </c>
      <c r="X468" s="6" t="s">
        <v>46</v>
      </c>
      <c r="Y468">
        <v>1</v>
      </c>
      <c r="Z468" s="5" t="s">
        <v>46</v>
      </c>
      <c r="AA468" s="5" t="s">
        <v>46</v>
      </c>
      <c r="AB468" s="5" t="s">
        <v>46</v>
      </c>
    </row>
    <row r="469" spans="1:28" x14ac:dyDescent="0.35">
      <c r="A469" s="8" t="s">
        <v>855</v>
      </c>
      <c r="B469" s="5" t="s">
        <v>532</v>
      </c>
      <c r="C469">
        <v>1986</v>
      </c>
      <c r="D469">
        <f t="shared" ca="1" si="15"/>
        <v>39</v>
      </c>
      <c r="E469" s="5" t="s">
        <v>6</v>
      </c>
      <c r="F469" t="s">
        <v>137</v>
      </c>
      <c r="G469" t="str">
        <f t="shared" si="14"/>
        <v>500.000–1.000.000</v>
      </c>
      <c r="H469" t="s">
        <v>7</v>
      </c>
      <c r="I469">
        <v>3</v>
      </c>
      <c r="J469" t="s">
        <v>8</v>
      </c>
      <c r="K469" s="5" t="s">
        <v>38</v>
      </c>
      <c r="L469" s="5" t="s">
        <v>11</v>
      </c>
      <c r="M469" s="5" t="s">
        <v>57</v>
      </c>
      <c r="N469" s="5" t="s">
        <v>58</v>
      </c>
      <c r="O469" s="5" t="s">
        <v>42</v>
      </c>
      <c r="P469" s="5" t="s">
        <v>15</v>
      </c>
      <c r="Q469" s="5" t="s">
        <v>17</v>
      </c>
      <c r="R469" s="5" t="s">
        <v>43</v>
      </c>
      <c r="S469" s="5" t="s">
        <v>21</v>
      </c>
      <c r="T469" s="6" t="s">
        <v>23</v>
      </c>
      <c r="U469" s="6">
        <v>1</v>
      </c>
      <c r="V469" s="6" t="s">
        <v>26</v>
      </c>
      <c r="W469" s="6">
        <v>1</v>
      </c>
      <c r="X469" s="6" t="s">
        <v>46</v>
      </c>
      <c r="Y469">
        <v>2</v>
      </c>
      <c r="Z469" s="5" t="s">
        <v>44</v>
      </c>
      <c r="AA469" s="5" t="s">
        <v>46</v>
      </c>
      <c r="AB469" s="5" t="s">
        <v>46</v>
      </c>
    </row>
    <row r="470" spans="1:28" x14ac:dyDescent="0.35">
      <c r="A470" s="8" t="s">
        <v>856</v>
      </c>
      <c r="B470" s="5" t="s">
        <v>533</v>
      </c>
      <c r="C470">
        <v>1985</v>
      </c>
      <c r="D470">
        <f t="shared" ca="1" si="15"/>
        <v>40</v>
      </c>
      <c r="E470" s="5" t="s">
        <v>28</v>
      </c>
      <c r="F470" t="s">
        <v>29</v>
      </c>
      <c r="G470" t="str">
        <f t="shared" si="14"/>
        <v>500.000–1.000.000</v>
      </c>
      <c r="H470" t="s">
        <v>139</v>
      </c>
      <c r="I470">
        <v>3</v>
      </c>
      <c r="J470" t="s">
        <v>8</v>
      </c>
      <c r="K470" s="5" t="s">
        <v>38</v>
      </c>
      <c r="L470" s="5" t="s">
        <v>11</v>
      </c>
      <c r="M470" s="5" t="s">
        <v>57</v>
      </c>
      <c r="N470" s="5" t="s">
        <v>58</v>
      </c>
      <c r="O470" s="5" t="s">
        <v>42</v>
      </c>
      <c r="P470" s="5" t="s">
        <v>15</v>
      </c>
      <c r="Q470" s="5" t="s">
        <v>17</v>
      </c>
      <c r="R470" s="5" t="s">
        <v>43</v>
      </c>
      <c r="S470" s="5" t="s">
        <v>21</v>
      </c>
      <c r="T470" s="6" t="s">
        <v>23</v>
      </c>
      <c r="U470" s="6">
        <v>1</v>
      </c>
      <c r="V470" s="6" t="s">
        <v>26</v>
      </c>
      <c r="W470" s="6">
        <v>1</v>
      </c>
      <c r="X470" s="6" t="s">
        <v>46</v>
      </c>
      <c r="Y470">
        <v>2</v>
      </c>
      <c r="Z470" s="5" t="s">
        <v>44</v>
      </c>
      <c r="AA470" s="5" t="s">
        <v>46</v>
      </c>
      <c r="AB470" s="5" t="s">
        <v>46</v>
      </c>
    </row>
    <row r="471" spans="1:28" x14ac:dyDescent="0.35">
      <c r="A471" s="8" t="s">
        <v>857</v>
      </c>
      <c r="B471" s="5" t="s">
        <v>534</v>
      </c>
      <c r="C471">
        <v>1994</v>
      </c>
      <c r="D471">
        <f t="shared" ca="1" si="15"/>
        <v>31</v>
      </c>
      <c r="E471" s="5" t="s">
        <v>6</v>
      </c>
      <c r="F471" t="s">
        <v>54</v>
      </c>
      <c r="G471" t="str">
        <f t="shared" si="14"/>
        <v>500.000–1.000.000</v>
      </c>
      <c r="H471" t="s">
        <v>7</v>
      </c>
      <c r="I471">
        <v>1</v>
      </c>
      <c r="J471" t="s">
        <v>8</v>
      </c>
      <c r="K471" s="5" t="s">
        <v>38</v>
      </c>
      <c r="L471" s="5" t="s">
        <v>11</v>
      </c>
      <c r="M471" s="5" t="s">
        <v>40</v>
      </c>
      <c r="N471" s="5" t="s">
        <v>37</v>
      </c>
      <c r="O471" s="5" t="s">
        <v>42</v>
      </c>
      <c r="P471" s="5" t="s">
        <v>15</v>
      </c>
      <c r="Q471" s="5" t="s">
        <v>17</v>
      </c>
      <c r="R471" s="5" t="s">
        <v>43</v>
      </c>
      <c r="S471" s="5" t="s">
        <v>21</v>
      </c>
      <c r="T471" s="6" t="s">
        <v>23</v>
      </c>
      <c r="U471" s="6">
        <v>1</v>
      </c>
      <c r="V471" s="6" t="s">
        <v>26</v>
      </c>
      <c r="W471" s="6">
        <v>1</v>
      </c>
      <c r="X471" s="6" t="s">
        <v>46</v>
      </c>
      <c r="Y471">
        <v>0</v>
      </c>
      <c r="Z471" s="5" t="s">
        <v>44</v>
      </c>
      <c r="AA471" s="5" t="s">
        <v>46</v>
      </c>
      <c r="AB471" s="5" t="s">
        <v>46</v>
      </c>
    </row>
    <row r="472" spans="1:28" x14ac:dyDescent="0.35">
      <c r="A472" s="8" t="s">
        <v>858</v>
      </c>
      <c r="B472" s="5" t="s">
        <v>535</v>
      </c>
      <c r="C472">
        <v>1996</v>
      </c>
      <c r="D472">
        <f t="shared" ca="1" si="15"/>
        <v>29</v>
      </c>
      <c r="E472" s="5" t="s">
        <v>28</v>
      </c>
      <c r="F472" t="s">
        <v>29</v>
      </c>
      <c r="G472" t="str">
        <f t="shared" si="14"/>
        <v>&lt;500.000</v>
      </c>
      <c r="H472" t="s">
        <v>30</v>
      </c>
      <c r="I472">
        <v>1</v>
      </c>
      <c r="J472" t="s">
        <v>8</v>
      </c>
      <c r="K472" s="5" t="s">
        <v>38</v>
      </c>
      <c r="L472" s="5" t="s">
        <v>11</v>
      </c>
      <c r="M472" s="5" t="s">
        <v>40</v>
      </c>
      <c r="N472" s="5" t="s">
        <v>37</v>
      </c>
      <c r="O472" s="5" t="s">
        <v>42</v>
      </c>
      <c r="P472" s="5" t="s">
        <v>15</v>
      </c>
      <c r="Q472" s="5" t="s">
        <v>17</v>
      </c>
      <c r="R472" s="5" t="s">
        <v>43</v>
      </c>
      <c r="S472" s="5" t="s">
        <v>21</v>
      </c>
      <c r="T472" s="6" t="s">
        <v>23</v>
      </c>
      <c r="U472" s="6">
        <v>1</v>
      </c>
      <c r="V472" s="6" t="s">
        <v>26</v>
      </c>
      <c r="W472" s="6">
        <v>1</v>
      </c>
      <c r="X472" s="6" t="s">
        <v>46</v>
      </c>
      <c r="Y472">
        <v>0</v>
      </c>
      <c r="Z472" s="5" t="s">
        <v>44</v>
      </c>
      <c r="AA472" s="5" t="s">
        <v>46</v>
      </c>
      <c r="AB472" s="5" t="s">
        <v>46</v>
      </c>
    </row>
    <row r="473" spans="1:28" x14ac:dyDescent="0.35">
      <c r="A473" s="8" t="s">
        <v>859</v>
      </c>
      <c r="B473" s="5" t="s">
        <v>539</v>
      </c>
      <c r="C473">
        <v>1983</v>
      </c>
      <c r="D473">
        <f t="shared" ca="1" si="15"/>
        <v>42</v>
      </c>
      <c r="E473" s="5" t="s">
        <v>6</v>
      </c>
      <c r="F473" t="s">
        <v>162</v>
      </c>
      <c r="G473" t="str">
        <f t="shared" si="14"/>
        <v>1.000.000–2.000.000</v>
      </c>
      <c r="H473" t="s">
        <v>139</v>
      </c>
      <c r="I473">
        <v>1</v>
      </c>
      <c r="J473" t="s">
        <v>48</v>
      </c>
      <c r="K473" s="5" t="s">
        <v>38</v>
      </c>
      <c r="L473" s="5" t="s">
        <v>11</v>
      </c>
      <c r="M473" s="5" t="s">
        <v>40</v>
      </c>
      <c r="N473" s="5" t="s">
        <v>37</v>
      </c>
      <c r="O473" s="5" t="s">
        <v>42</v>
      </c>
      <c r="P473" s="5" t="s">
        <v>536</v>
      </c>
      <c r="Q473" s="5" t="s">
        <v>17</v>
      </c>
      <c r="R473" s="5" t="s">
        <v>43</v>
      </c>
      <c r="S473" s="5" t="s">
        <v>21</v>
      </c>
      <c r="T473" s="6" t="s">
        <v>23</v>
      </c>
      <c r="U473" s="6">
        <v>1</v>
      </c>
      <c r="V473" s="6" t="s">
        <v>537</v>
      </c>
      <c r="W473" s="6">
        <v>1</v>
      </c>
      <c r="X473" s="6" t="s">
        <v>46</v>
      </c>
      <c r="Y473">
        <v>0</v>
      </c>
      <c r="Z473" s="5" t="s">
        <v>44</v>
      </c>
      <c r="AA473" s="5" t="s">
        <v>46</v>
      </c>
      <c r="AB473" s="5" t="s">
        <v>46</v>
      </c>
    </row>
    <row r="474" spans="1:28" x14ac:dyDescent="0.35">
      <c r="A474" s="8" t="s">
        <v>860</v>
      </c>
      <c r="B474" s="5" t="s">
        <v>538</v>
      </c>
      <c r="C474">
        <v>1986</v>
      </c>
      <c r="D474">
        <f t="shared" ca="1" si="15"/>
        <v>39</v>
      </c>
      <c r="E474" s="5" t="s">
        <v>28</v>
      </c>
      <c r="F474" t="s">
        <v>29</v>
      </c>
      <c r="G474" t="str">
        <f t="shared" si="14"/>
        <v>&lt;500.000</v>
      </c>
      <c r="H474" t="s">
        <v>63</v>
      </c>
      <c r="I474">
        <v>1</v>
      </c>
      <c r="J474" t="s">
        <v>48</v>
      </c>
      <c r="K474" s="5" t="s">
        <v>38</v>
      </c>
      <c r="L474" s="5" t="s">
        <v>11</v>
      </c>
      <c r="M474" s="5" t="s">
        <v>40</v>
      </c>
      <c r="N474" s="5" t="s">
        <v>37</v>
      </c>
      <c r="O474" s="5" t="s">
        <v>42</v>
      </c>
      <c r="P474" s="5" t="s">
        <v>536</v>
      </c>
      <c r="Q474" s="5" t="s">
        <v>17</v>
      </c>
      <c r="R474" s="5" t="s">
        <v>43</v>
      </c>
      <c r="S474" s="5" t="s">
        <v>21</v>
      </c>
      <c r="T474" s="6" t="s">
        <v>23</v>
      </c>
      <c r="U474" s="6">
        <v>1</v>
      </c>
      <c r="V474" s="6" t="s">
        <v>537</v>
      </c>
      <c r="W474" s="6">
        <v>1</v>
      </c>
      <c r="X474" s="6" t="s">
        <v>46</v>
      </c>
      <c r="Y474">
        <v>0</v>
      </c>
      <c r="Z474" s="5" t="s">
        <v>44</v>
      </c>
      <c r="AA474" s="5" t="s">
        <v>46</v>
      </c>
      <c r="AB474" s="5" t="s">
        <v>46</v>
      </c>
    </row>
    <row r="475" spans="1:28" x14ac:dyDescent="0.35">
      <c r="A475" s="8" t="s">
        <v>861</v>
      </c>
      <c r="B475" s="5" t="s">
        <v>540</v>
      </c>
      <c r="C475">
        <v>1952</v>
      </c>
      <c r="D475">
        <f t="shared" ca="1" si="15"/>
        <v>73</v>
      </c>
      <c r="E475" s="5" t="s">
        <v>6</v>
      </c>
      <c r="F475" t="s">
        <v>29</v>
      </c>
      <c r="G475" t="str">
        <f t="shared" si="14"/>
        <v>&lt;500.000</v>
      </c>
      <c r="H475" t="s">
        <v>63</v>
      </c>
      <c r="I475">
        <v>0</v>
      </c>
      <c r="J475" t="s">
        <v>8</v>
      </c>
      <c r="K475" s="5" t="s">
        <v>38</v>
      </c>
      <c r="L475" s="5" t="s">
        <v>49</v>
      </c>
      <c r="M475" s="5" t="s">
        <v>57</v>
      </c>
      <c r="N475" s="5" t="s">
        <v>58</v>
      </c>
      <c r="O475" s="5" t="s">
        <v>89</v>
      </c>
      <c r="P475" s="5" t="s">
        <v>15</v>
      </c>
      <c r="Q475" s="5" t="s">
        <v>17</v>
      </c>
      <c r="R475" s="5" t="s">
        <v>43</v>
      </c>
      <c r="S475" s="5" t="s">
        <v>21</v>
      </c>
      <c r="T475" s="6" t="s">
        <v>73</v>
      </c>
      <c r="U475" s="6">
        <v>0</v>
      </c>
      <c r="V475" s="6" t="s">
        <v>73</v>
      </c>
      <c r="W475" s="6">
        <v>0</v>
      </c>
      <c r="X475" s="6" t="s">
        <v>46</v>
      </c>
      <c r="Y475">
        <v>0</v>
      </c>
      <c r="Z475" s="5" t="s">
        <v>46</v>
      </c>
      <c r="AA475" s="5" t="s">
        <v>44</v>
      </c>
      <c r="AB475" s="5" t="s">
        <v>74</v>
      </c>
    </row>
    <row r="476" spans="1:28" x14ac:dyDescent="0.35">
      <c r="A476" s="8" t="s">
        <v>862</v>
      </c>
      <c r="B476" s="5" t="s">
        <v>541</v>
      </c>
      <c r="C476">
        <v>1957</v>
      </c>
      <c r="D476">
        <f t="shared" ca="1" si="15"/>
        <v>68</v>
      </c>
      <c r="E476" s="5" t="s">
        <v>28</v>
      </c>
      <c r="F476" t="s">
        <v>29</v>
      </c>
      <c r="G476" t="str">
        <f t="shared" si="14"/>
        <v>&lt;500.000</v>
      </c>
      <c r="H476" t="s">
        <v>63</v>
      </c>
      <c r="I476">
        <v>0</v>
      </c>
      <c r="J476" t="s">
        <v>8</v>
      </c>
      <c r="K476" s="5" t="s">
        <v>38</v>
      </c>
      <c r="L476" s="5" t="s">
        <v>49</v>
      </c>
      <c r="M476" s="5" t="s">
        <v>57</v>
      </c>
      <c r="N476" s="5" t="s">
        <v>58</v>
      </c>
      <c r="O476" s="5" t="s">
        <v>89</v>
      </c>
      <c r="P476" s="5" t="s">
        <v>15</v>
      </c>
      <c r="Q476" s="5" t="s">
        <v>17</v>
      </c>
      <c r="R476" s="5" t="s">
        <v>43</v>
      </c>
      <c r="S476" s="5" t="s">
        <v>21</v>
      </c>
      <c r="T476" s="6" t="s">
        <v>73</v>
      </c>
      <c r="U476" s="6">
        <v>0</v>
      </c>
      <c r="V476" s="6" t="s">
        <v>73</v>
      </c>
      <c r="W476" s="6">
        <v>0</v>
      </c>
      <c r="X476" s="6" t="s">
        <v>46</v>
      </c>
      <c r="Y476">
        <v>0</v>
      </c>
      <c r="Z476" s="5" t="s">
        <v>46</v>
      </c>
      <c r="AA476" s="5" t="s">
        <v>44</v>
      </c>
      <c r="AB476" s="5" t="s">
        <v>46</v>
      </c>
    </row>
    <row r="477" spans="1:28" x14ac:dyDescent="0.35">
      <c r="A477" s="8" t="s">
        <v>863</v>
      </c>
      <c r="B477" s="5" t="s">
        <v>542</v>
      </c>
      <c r="C477">
        <v>1956</v>
      </c>
      <c r="D477">
        <f t="shared" ca="1" si="15"/>
        <v>69</v>
      </c>
      <c r="E477" s="5" t="s">
        <v>6</v>
      </c>
      <c r="F477" t="s">
        <v>137</v>
      </c>
      <c r="G477" t="str">
        <f t="shared" si="14"/>
        <v>500.000–1.000.000</v>
      </c>
      <c r="H477" t="s">
        <v>7</v>
      </c>
      <c r="I477">
        <v>0</v>
      </c>
      <c r="J477" t="s">
        <v>72</v>
      </c>
      <c r="K477" s="5" t="s">
        <v>38</v>
      </c>
      <c r="L477" s="5" t="s">
        <v>49</v>
      </c>
      <c r="M477" s="5" t="s">
        <v>57</v>
      </c>
      <c r="N477" s="5" t="s">
        <v>58</v>
      </c>
      <c r="O477" s="5" t="s">
        <v>42</v>
      </c>
      <c r="P477" s="5" t="s">
        <v>15</v>
      </c>
      <c r="Q477" s="5" t="s">
        <v>17</v>
      </c>
      <c r="R477" s="5" t="s">
        <v>43</v>
      </c>
      <c r="S477" s="5" t="s">
        <v>21</v>
      </c>
      <c r="T477" s="6" t="s">
        <v>73</v>
      </c>
      <c r="U477" s="6">
        <v>0</v>
      </c>
      <c r="V477" s="6" t="s">
        <v>73</v>
      </c>
      <c r="W477" s="6">
        <v>0</v>
      </c>
      <c r="X477" s="6" t="s">
        <v>46</v>
      </c>
      <c r="Y477">
        <v>0</v>
      </c>
      <c r="Z477" s="5" t="s">
        <v>46</v>
      </c>
      <c r="AA477" s="5" t="s">
        <v>44</v>
      </c>
      <c r="AB477" s="5" t="s">
        <v>46</v>
      </c>
    </row>
    <row r="478" spans="1:28" x14ac:dyDescent="0.35">
      <c r="A478" s="8" t="s">
        <v>864</v>
      </c>
      <c r="B478" s="5" t="s">
        <v>543</v>
      </c>
      <c r="C478">
        <v>1967</v>
      </c>
      <c r="D478">
        <f t="shared" ca="1" si="15"/>
        <v>58</v>
      </c>
      <c r="E478" s="5" t="s">
        <v>28</v>
      </c>
      <c r="F478" t="s">
        <v>29</v>
      </c>
      <c r="G478" t="str">
        <f t="shared" si="14"/>
        <v>&lt;500.000</v>
      </c>
      <c r="H478" t="s">
        <v>63</v>
      </c>
      <c r="I478">
        <v>0</v>
      </c>
      <c r="J478" t="s">
        <v>72</v>
      </c>
      <c r="K478" s="5" t="s">
        <v>38</v>
      </c>
      <c r="L478" s="5" t="s">
        <v>49</v>
      </c>
      <c r="M478" s="5" t="s">
        <v>57</v>
      </c>
      <c r="N478" s="5" t="s">
        <v>58</v>
      </c>
      <c r="O478" s="5" t="s">
        <v>42</v>
      </c>
      <c r="P478" s="5" t="s">
        <v>15</v>
      </c>
      <c r="Q478" s="5" t="s">
        <v>17</v>
      </c>
      <c r="R478" s="5" t="s">
        <v>43</v>
      </c>
      <c r="S478" s="5" t="s">
        <v>21</v>
      </c>
      <c r="T478" s="6" t="s">
        <v>73</v>
      </c>
      <c r="U478" s="6">
        <v>0</v>
      </c>
      <c r="V478" s="6" t="s">
        <v>73</v>
      </c>
      <c r="W478" s="6">
        <v>0</v>
      </c>
      <c r="X478" s="6" t="s">
        <v>46</v>
      </c>
      <c r="Y478">
        <v>0</v>
      </c>
      <c r="Z478" s="5" t="s">
        <v>46</v>
      </c>
      <c r="AA478" s="5" t="s">
        <v>46</v>
      </c>
      <c r="AB478" s="5" t="s">
        <v>46</v>
      </c>
    </row>
    <row r="479" spans="1:28" x14ac:dyDescent="0.35">
      <c r="A479" s="8" t="s">
        <v>865</v>
      </c>
      <c r="B479" s="5" t="s">
        <v>544</v>
      </c>
      <c r="C479">
        <v>1980</v>
      </c>
      <c r="D479">
        <f t="shared" ca="1" si="15"/>
        <v>45</v>
      </c>
      <c r="E479" s="5" t="s">
        <v>6</v>
      </c>
      <c r="F479" t="s">
        <v>137</v>
      </c>
      <c r="G479" t="str">
        <f t="shared" si="14"/>
        <v>500.000–1.000.000</v>
      </c>
      <c r="H479" t="s">
        <v>7</v>
      </c>
      <c r="I479">
        <v>5</v>
      </c>
      <c r="J479" t="s">
        <v>48</v>
      </c>
      <c r="K479" s="5" t="s">
        <v>38</v>
      </c>
      <c r="L479" s="5" t="s">
        <v>11</v>
      </c>
      <c r="M479" s="5" t="s">
        <v>57</v>
      </c>
      <c r="N479" s="5" t="s">
        <v>58</v>
      </c>
      <c r="O479" s="5" t="s">
        <v>42</v>
      </c>
      <c r="P479" s="5" t="s">
        <v>15</v>
      </c>
      <c r="Q479" s="5" t="s">
        <v>17</v>
      </c>
      <c r="R479" s="5" t="s">
        <v>43</v>
      </c>
      <c r="S479" s="5" t="s">
        <v>21</v>
      </c>
      <c r="T479" s="6" t="s">
        <v>23</v>
      </c>
      <c r="U479" s="6">
        <v>1</v>
      </c>
      <c r="V479" s="6" t="s">
        <v>545</v>
      </c>
      <c r="W479" s="6">
        <v>1</v>
      </c>
      <c r="X479" s="6" t="s">
        <v>46</v>
      </c>
      <c r="Y479">
        <v>4</v>
      </c>
      <c r="Z479" s="5" t="s">
        <v>46</v>
      </c>
      <c r="AA479" s="5" t="s">
        <v>46</v>
      </c>
      <c r="AB479" s="5" t="s">
        <v>74</v>
      </c>
    </row>
    <row r="480" spans="1:28" x14ac:dyDescent="0.35">
      <c r="A480" s="8" t="s">
        <v>866</v>
      </c>
      <c r="B480" s="5" t="s">
        <v>546</v>
      </c>
      <c r="C480">
        <v>1980</v>
      </c>
      <c r="D480">
        <f t="shared" ca="1" si="15"/>
        <v>45</v>
      </c>
      <c r="E480" s="5" t="s">
        <v>28</v>
      </c>
      <c r="F480" t="s">
        <v>29</v>
      </c>
      <c r="G480" t="str">
        <f t="shared" si="14"/>
        <v>500.000–1.000.000</v>
      </c>
      <c r="H480" t="s">
        <v>7</v>
      </c>
      <c r="I480">
        <v>5</v>
      </c>
      <c r="J480" t="s">
        <v>48</v>
      </c>
      <c r="K480" s="5" t="s">
        <v>38</v>
      </c>
      <c r="L480" s="5" t="s">
        <v>11</v>
      </c>
      <c r="M480" s="5" t="s">
        <v>57</v>
      </c>
      <c r="N480" s="5" t="s">
        <v>58</v>
      </c>
      <c r="O480" s="5" t="s">
        <v>42</v>
      </c>
      <c r="P480" s="5" t="s">
        <v>15</v>
      </c>
      <c r="Q480" s="5" t="s">
        <v>17</v>
      </c>
      <c r="R480" s="5" t="s">
        <v>43</v>
      </c>
      <c r="S480" s="5" t="s">
        <v>21</v>
      </c>
      <c r="T480" s="6" t="s">
        <v>23</v>
      </c>
      <c r="U480" s="6">
        <v>1</v>
      </c>
      <c r="V480" s="6" t="s">
        <v>547</v>
      </c>
      <c r="W480" s="6">
        <v>1</v>
      </c>
      <c r="X480" s="6" t="s">
        <v>46</v>
      </c>
      <c r="Y480">
        <v>4</v>
      </c>
      <c r="Z480" s="5" t="s">
        <v>46</v>
      </c>
      <c r="AA480" s="5" t="s">
        <v>46</v>
      </c>
      <c r="AB480" s="5" t="s">
        <v>46</v>
      </c>
    </row>
    <row r="481" spans="1:28" x14ac:dyDescent="0.35">
      <c r="A481" s="8" t="s">
        <v>867</v>
      </c>
      <c r="B481" s="5" t="s">
        <v>548</v>
      </c>
      <c r="C481">
        <v>1942</v>
      </c>
      <c r="D481">
        <f t="shared" ca="1" si="15"/>
        <v>83</v>
      </c>
      <c r="E481" s="5" t="s">
        <v>6</v>
      </c>
      <c r="F481" t="s">
        <v>137</v>
      </c>
      <c r="G481" t="str">
        <f t="shared" si="14"/>
        <v>500.000–1.000.000</v>
      </c>
      <c r="H481" t="s">
        <v>30</v>
      </c>
      <c r="I481">
        <v>1</v>
      </c>
      <c r="J481" t="s">
        <v>72</v>
      </c>
      <c r="K481" s="5" t="s">
        <v>38</v>
      </c>
      <c r="L481" s="5" t="s">
        <v>11</v>
      </c>
      <c r="M481" s="5" t="s">
        <v>57</v>
      </c>
      <c r="N481" s="5" t="s">
        <v>58</v>
      </c>
      <c r="O481" s="5" t="s">
        <v>42</v>
      </c>
      <c r="P481" s="5" t="s">
        <v>15</v>
      </c>
      <c r="Q481" s="5" t="s">
        <v>17</v>
      </c>
      <c r="R481" s="5" t="s">
        <v>43</v>
      </c>
      <c r="S481" s="5" t="s">
        <v>21</v>
      </c>
      <c r="T481" s="6" t="s">
        <v>73</v>
      </c>
      <c r="U481" s="6">
        <v>0</v>
      </c>
      <c r="V481" s="6" t="s">
        <v>73</v>
      </c>
      <c r="W481" s="6">
        <v>0</v>
      </c>
      <c r="X481" s="6" t="s">
        <v>46</v>
      </c>
      <c r="Y481">
        <v>0</v>
      </c>
      <c r="Z481" s="5" t="s">
        <v>46</v>
      </c>
      <c r="AA481" s="5" t="s">
        <v>44</v>
      </c>
      <c r="AB481" s="5" t="s">
        <v>35</v>
      </c>
    </row>
    <row r="482" spans="1:28" x14ac:dyDescent="0.35">
      <c r="A482" s="8" t="s">
        <v>868</v>
      </c>
      <c r="B482" s="5" t="s">
        <v>549</v>
      </c>
      <c r="C482">
        <v>1965</v>
      </c>
      <c r="D482">
        <f t="shared" ca="1" si="15"/>
        <v>60</v>
      </c>
      <c r="E482" s="5" t="s">
        <v>6</v>
      </c>
      <c r="F482" t="s">
        <v>54</v>
      </c>
      <c r="G482" t="str">
        <f t="shared" si="14"/>
        <v>500.000–1.000.000</v>
      </c>
      <c r="H482" t="s">
        <v>30</v>
      </c>
      <c r="I482">
        <v>0</v>
      </c>
      <c r="J482" t="s">
        <v>48</v>
      </c>
      <c r="K482" s="5" t="s">
        <v>38</v>
      </c>
      <c r="L482" s="5" t="s">
        <v>11</v>
      </c>
      <c r="M482" s="5" t="s">
        <v>57</v>
      </c>
      <c r="N482" s="5" t="s">
        <v>58</v>
      </c>
      <c r="O482" s="5" t="s">
        <v>42</v>
      </c>
      <c r="P482" s="5" t="s">
        <v>15</v>
      </c>
      <c r="Q482" s="5" t="s">
        <v>17</v>
      </c>
      <c r="R482" s="5" t="s">
        <v>43</v>
      </c>
      <c r="S482" s="5" t="s">
        <v>21</v>
      </c>
      <c r="T482" s="6" t="s">
        <v>23</v>
      </c>
      <c r="U482" s="6">
        <v>1</v>
      </c>
      <c r="V482" s="6" t="s">
        <v>117</v>
      </c>
      <c r="W482" s="6">
        <v>1</v>
      </c>
      <c r="X482" s="6" t="s">
        <v>46</v>
      </c>
      <c r="Y482">
        <v>0</v>
      </c>
      <c r="Z482" s="5" t="s">
        <v>46</v>
      </c>
      <c r="AA482" s="5" t="s">
        <v>44</v>
      </c>
      <c r="AB482" s="5" t="s">
        <v>46</v>
      </c>
    </row>
    <row r="483" spans="1:28" x14ac:dyDescent="0.35">
      <c r="A483" s="8" t="s">
        <v>869</v>
      </c>
      <c r="B483" s="5" t="s">
        <v>550</v>
      </c>
      <c r="C483">
        <v>1967</v>
      </c>
      <c r="D483">
        <f t="shared" ca="1" si="15"/>
        <v>58</v>
      </c>
      <c r="E483" s="5" t="s">
        <v>28</v>
      </c>
      <c r="F483" t="s">
        <v>29</v>
      </c>
      <c r="G483" t="str">
        <f t="shared" si="14"/>
        <v>&lt;500.000</v>
      </c>
      <c r="H483" t="s">
        <v>30</v>
      </c>
      <c r="I483">
        <v>0</v>
      </c>
      <c r="J483" t="s">
        <v>8</v>
      </c>
      <c r="K483" s="5" t="s">
        <v>38</v>
      </c>
      <c r="L483" s="5" t="s">
        <v>11</v>
      </c>
      <c r="M483" s="5" t="s">
        <v>57</v>
      </c>
      <c r="N483" s="5" t="s">
        <v>58</v>
      </c>
      <c r="O483" s="5" t="s">
        <v>42</v>
      </c>
      <c r="P483" s="5" t="s">
        <v>15</v>
      </c>
      <c r="Q483" s="5" t="s">
        <v>17</v>
      </c>
      <c r="R483" s="5" t="s">
        <v>43</v>
      </c>
      <c r="S483" s="5" t="s">
        <v>21</v>
      </c>
      <c r="T483" s="6" t="s">
        <v>23</v>
      </c>
      <c r="U483" s="6">
        <v>1</v>
      </c>
      <c r="V483" s="6" t="s">
        <v>117</v>
      </c>
      <c r="W483" s="6">
        <v>1</v>
      </c>
      <c r="X483" s="6" t="s">
        <v>46</v>
      </c>
      <c r="Y483">
        <v>0</v>
      </c>
      <c r="Z483" s="5" t="s">
        <v>46</v>
      </c>
      <c r="AA483" s="5" t="s">
        <v>46</v>
      </c>
      <c r="AB483" s="5" t="s">
        <v>35</v>
      </c>
    </row>
    <row r="484" spans="1:28" x14ac:dyDescent="0.35">
      <c r="A484" s="8" t="s">
        <v>870</v>
      </c>
      <c r="B484" s="5" t="s">
        <v>551</v>
      </c>
      <c r="C484">
        <v>1969</v>
      </c>
      <c r="D484">
        <f t="shared" ref="D484:D547" ca="1" si="16">YEAR(TODAY()) - C484</f>
        <v>56</v>
      </c>
      <c r="E484" s="5" t="s">
        <v>6</v>
      </c>
      <c r="F484" t="s">
        <v>29</v>
      </c>
      <c r="G484" t="str">
        <f t="shared" si="14"/>
        <v>&lt;500.000</v>
      </c>
      <c r="H484" t="s">
        <v>63</v>
      </c>
      <c r="I484">
        <v>2</v>
      </c>
      <c r="J484" t="s">
        <v>8</v>
      </c>
      <c r="K484" s="5" t="s">
        <v>38</v>
      </c>
      <c r="L484" s="5" t="s">
        <v>11</v>
      </c>
      <c r="M484" s="5" t="s">
        <v>57</v>
      </c>
      <c r="N484" s="5" t="s">
        <v>58</v>
      </c>
      <c r="O484" s="5" t="s">
        <v>42</v>
      </c>
      <c r="P484" s="5" t="s">
        <v>15</v>
      </c>
      <c r="Q484" s="5" t="s">
        <v>17</v>
      </c>
      <c r="R484" s="5" t="s">
        <v>43</v>
      </c>
      <c r="S484" s="5" t="s">
        <v>21</v>
      </c>
      <c r="T484" s="6" t="s">
        <v>73</v>
      </c>
      <c r="U484" s="6">
        <v>0</v>
      </c>
      <c r="V484" s="6" t="s">
        <v>73</v>
      </c>
      <c r="W484" s="6">
        <v>0</v>
      </c>
      <c r="X484" s="6" t="s">
        <v>46</v>
      </c>
      <c r="Z484" s="5" t="s">
        <v>46</v>
      </c>
      <c r="AA484" s="5" t="s">
        <v>46</v>
      </c>
      <c r="AB484" s="5" t="s">
        <v>46</v>
      </c>
    </row>
    <row r="485" spans="1:28" x14ac:dyDescent="0.35">
      <c r="A485" s="8" t="s">
        <v>871</v>
      </c>
      <c r="B485" s="5" t="s">
        <v>554</v>
      </c>
      <c r="C485">
        <v>1980</v>
      </c>
      <c r="D485">
        <f t="shared" ca="1" si="16"/>
        <v>45</v>
      </c>
      <c r="E485" s="5" t="s">
        <v>6</v>
      </c>
      <c r="F485" t="s">
        <v>54</v>
      </c>
      <c r="G485" s="4" t="str">
        <f t="shared" ref="G485:G548" si="17">IF(OR(
    F485="Tidak bekerja",
    F485="Pekerja keluarga/Tidak dibayar"),
    IF(OR(H485="Tidak Sekolah", H485="SD"), "&lt;500.000", "500.000–1.000.000"),
IF(OR(
    F485="Pekerja Bebas Pertanian",
    F485="Pekerja Bebas non-Pertanian"),
    IF(OR(H485="Tidak Sekolah", H485="SD", H485="SMP"), "500.000–1.000.000", "1.000.000–2.000.000"),
IF(F485="Buruh/Karyawan/Pegawai Swasta",
    IF(OR(H485="SD", H485="SMP"), "500.000–1.000.000",
       IF(OR(H485="SMA/SMK", H485="D1/2/3"), "1.000.000–2.000.000", "2.000.000–3.000.000")
    ),
IF(F485="Berusaha Sendiri",
    IF(OR(H485="SD", H485="SMP"), "500.000–1.000.000", "1.000.000–2.000.000"),
IF(F485="Berusaha dibantu buruh tidak tetap/Tidak dibayar", "1.000.000–2.000.000",
IF(F485="Berusaha dibantu buruh tetap/Dibayar", "2.000.000–3.000.000",
IF(F485="PNS/TNI/Polri/BUMN/BUMD/Anggota Legislatif", "2.000.000–3.000.000",
""
)))))))</f>
        <v>1.000.000–2.000.000</v>
      </c>
      <c r="H485" t="s">
        <v>139</v>
      </c>
      <c r="I485">
        <v>3</v>
      </c>
      <c r="J485" t="s">
        <v>48</v>
      </c>
      <c r="K485" s="5" t="s">
        <v>114</v>
      </c>
      <c r="L485" s="5" t="s">
        <v>11</v>
      </c>
      <c r="M485" s="5" t="s">
        <v>57</v>
      </c>
      <c r="N485" s="5" t="s">
        <v>58</v>
      </c>
      <c r="O485" s="5" t="s">
        <v>42</v>
      </c>
      <c r="P485" s="5" t="s">
        <v>15</v>
      </c>
      <c r="Q485" s="5" t="s">
        <v>17</v>
      </c>
      <c r="R485" s="5" t="s">
        <v>43</v>
      </c>
      <c r="S485" s="5" t="s">
        <v>21</v>
      </c>
      <c r="T485" s="6" t="s">
        <v>23</v>
      </c>
      <c r="U485" s="6">
        <v>1</v>
      </c>
      <c r="V485" s="6" t="s">
        <v>26</v>
      </c>
      <c r="W485" s="6">
        <v>1</v>
      </c>
      <c r="X485" s="6" t="s">
        <v>46</v>
      </c>
      <c r="Y485">
        <v>2</v>
      </c>
      <c r="Z485" s="5" t="s">
        <v>46</v>
      </c>
      <c r="AA485" s="5" t="s">
        <v>46</v>
      </c>
      <c r="AB485" s="5" t="s">
        <v>46</v>
      </c>
    </row>
    <row r="486" spans="1:28" x14ac:dyDescent="0.35">
      <c r="A486" s="8" t="s">
        <v>872</v>
      </c>
      <c r="B486" s="5" t="s">
        <v>555</v>
      </c>
      <c r="C486">
        <v>1958</v>
      </c>
      <c r="D486">
        <f t="shared" ca="1" si="16"/>
        <v>67</v>
      </c>
      <c r="E486" s="5" t="s">
        <v>6</v>
      </c>
      <c r="F486" t="s">
        <v>137</v>
      </c>
      <c r="G486" s="4" t="str">
        <f t="shared" si="17"/>
        <v>500.000–1.000.000</v>
      </c>
      <c r="H486" t="s">
        <v>30</v>
      </c>
      <c r="I486">
        <v>1</v>
      </c>
      <c r="J486" t="s">
        <v>8</v>
      </c>
      <c r="K486" s="5" t="s">
        <v>10</v>
      </c>
      <c r="L486" s="5" t="s">
        <v>11</v>
      </c>
      <c r="M486" s="5" t="s">
        <v>40</v>
      </c>
      <c r="N486" s="5" t="s">
        <v>37</v>
      </c>
      <c r="O486" s="5" t="s">
        <v>42</v>
      </c>
      <c r="P486" s="5" t="s">
        <v>15</v>
      </c>
      <c r="Q486" s="5" t="s">
        <v>17</v>
      </c>
      <c r="R486" s="5" t="s">
        <v>43</v>
      </c>
      <c r="S486" s="5" t="s">
        <v>21</v>
      </c>
      <c r="T486" s="6" t="s">
        <v>73</v>
      </c>
      <c r="U486" s="6">
        <v>0</v>
      </c>
      <c r="V486" s="6" t="s">
        <v>73</v>
      </c>
      <c r="W486" s="6">
        <v>0</v>
      </c>
      <c r="X486" s="6" t="s">
        <v>44</v>
      </c>
      <c r="Y486">
        <v>0</v>
      </c>
      <c r="Z486" s="5" t="s">
        <v>46</v>
      </c>
      <c r="AA486" s="5" t="s">
        <v>44</v>
      </c>
      <c r="AB486" s="5" t="s">
        <v>46</v>
      </c>
    </row>
    <row r="487" spans="1:28" x14ac:dyDescent="0.35">
      <c r="A487" s="8" t="s">
        <v>873</v>
      </c>
      <c r="B487" s="5" t="s">
        <v>217</v>
      </c>
      <c r="C487">
        <v>1969</v>
      </c>
      <c r="D487">
        <f t="shared" ca="1" si="16"/>
        <v>56</v>
      </c>
      <c r="E487" s="5" t="s">
        <v>28</v>
      </c>
      <c r="F487" t="s">
        <v>137</v>
      </c>
      <c r="G487" s="4" t="str">
        <f t="shared" si="17"/>
        <v>500.000–1.000.000</v>
      </c>
      <c r="H487" t="s">
        <v>7</v>
      </c>
      <c r="I487">
        <v>1</v>
      </c>
      <c r="J487" t="s">
        <v>8</v>
      </c>
      <c r="K487" s="5" t="s">
        <v>10</v>
      </c>
      <c r="L487" s="5" t="s">
        <v>11</v>
      </c>
      <c r="M487" s="5" t="s">
        <v>40</v>
      </c>
      <c r="N487" s="5" t="s">
        <v>37</v>
      </c>
      <c r="O487" s="5" t="s">
        <v>42</v>
      </c>
      <c r="P487" s="5" t="s">
        <v>15</v>
      </c>
      <c r="Q487" s="5" t="s">
        <v>17</v>
      </c>
      <c r="R487" s="5" t="s">
        <v>43</v>
      </c>
      <c r="S487" s="5" t="s">
        <v>21</v>
      </c>
      <c r="T487" s="6" t="s">
        <v>73</v>
      </c>
      <c r="U487" s="6">
        <v>0</v>
      </c>
      <c r="V487" s="6" t="s">
        <v>73</v>
      </c>
      <c r="W487" s="6">
        <v>0</v>
      </c>
      <c r="X487" s="6" t="s">
        <v>44</v>
      </c>
      <c r="Y487">
        <v>0</v>
      </c>
      <c r="Z487" s="5" t="s">
        <v>46</v>
      </c>
      <c r="AA487" s="5" t="s">
        <v>44</v>
      </c>
      <c r="AB487" s="5" t="s">
        <v>46</v>
      </c>
    </row>
    <row r="488" spans="1:28" x14ac:dyDescent="0.35">
      <c r="A488" s="8" t="s">
        <v>874</v>
      </c>
      <c r="B488" s="5" t="s">
        <v>556</v>
      </c>
      <c r="C488">
        <v>1970</v>
      </c>
      <c r="D488">
        <f t="shared" ca="1" si="16"/>
        <v>55</v>
      </c>
      <c r="E488" s="5" t="s">
        <v>6</v>
      </c>
      <c r="F488" t="s">
        <v>54</v>
      </c>
      <c r="G488" s="4" t="str">
        <f t="shared" si="17"/>
        <v>500.000–1.000.000</v>
      </c>
      <c r="H488" t="s">
        <v>7</v>
      </c>
      <c r="I488">
        <v>1</v>
      </c>
      <c r="J488" t="s">
        <v>8</v>
      </c>
      <c r="K488" s="5" t="s">
        <v>38</v>
      </c>
      <c r="L488" s="5" t="s">
        <v>11</v>
      </c>
      <c r="M488" s="5" t="s">
        <v>57</v>
      </c>
      <c r="N488" s="5" t="s">
        <v>58</v>
      </c>
      <c r="O488" s="5" t="s">
        <v>42</v>
      </c>
      <c r="P488" s="5" t="s">
        <v>15</v>
      </c>
      <c r="Q488" s="5" t="s">
        <v>17</v>
      </c>
      <c r="R488" s="5" t="s">
        <v>43</v>
      </c>
      <c r="S488" s="5" t="s">
        <v>21</v>
      </c>
      <c r="T488" s="6" t="s">
        <v>23</v>
      </c>
      <c r="U488" s="6">
        <v>1</v>
      </c>
      <c r="V488" s="6" t="s">
        <v>26</v>
      </c>
      <c r="W488" s="6">
        <v>1</v>
      </c>
      <c r="X488" s="6" t="s">
        <v>46</v>
      </c>
      <c r="Y488">
        <v>0</v>
      </c>
      <c r="Z488" s="5" t="s">
        <v>46</v>
      </c>
      <c r="AA488" s="5" t="s">
        <v>46</v>
      </c>
      <c r="AB488" s="5" t="s">
        <v>46</v>
      </c>
    </row>
    <row r="489" spans="1:28" x14ac:dyDescent="0.35">
      <c r="A489" s="8" t="s">
        <v>875</v>
      </c>
      <c r="B489" s="5" t="s">
        <v>557</v>
      </c>
      <c r="C489">
        <v>1971</v>
      </c>
      <c r="D489">
        <f t="shared" ca="1" si="16"/>
        <v>54</v>
      </c>
      <c r="E489" s="5" t="s">
        <v>28</v>
      </c>
      <c r="F489" t="s">
        <v>29</v>
      </c>
      <c r="G489" s="4" t="str">
        <f t="shared" si="17"/>
        <v>&lt;500.000</v>
      </c>
      <c r="H489" t="s">
        <v>30</v>
      </c>
      <c r="I489">
        <v>1</v>
      </c>
      <c r="J489" t="s">
        <v>8</v>
      </c>
      <c r="K489" s="5" t="s">
        <v>38</v>
      </c>
      <c r="L489" s="5" t="s">
        <v>11</v>
      </c>
      <c r="M489" s="5" t="s">
        <v>57</v>
      </c>
      <c r="N489" s="5" t="s">
        <v>58</v>
      </c>
      <c r="O489" s="5" t="s">
        <v>42</v>
      </c>
      <c r="P489" s="5" t="s">
        <v>15</v>
      </c>
      <c r="Q489" s="5" t="s">
        <v>17</v>
      </c>
      <c r="R489" s="5" t="s">
        <v>43</v>
      </c>
      <c r="S489" s="5" t="s">
        <v>21</v>
      </c>
      <c r="T489" s="6" t="s">
        <v>23</v>
      </c>
      <c r="U489" s="6">
        <v>1</v>
      </c>
      <c r="V489" s="6" t="s">
        <v>26</v>
      </c>
      <c r="W489" s="6">
        <v>1</v>
      </c>
      <c r="X489" s="6" t="s">
        <v>46</v>
      </c>
      <c r="Y489">
        <v>0</v>
      </c>
      <c r="Z489" s="5" t="s">
        <v>46</v>
      </c>
      <c r="AA489" s="5" t="s">
        <v>46</v>
      </c>
      <c r="AB489" s="5" t="s">
        <v>46</v>
      </c>
    </row>
    <row r="490" spans="1:28" x14ac:dyDescent="0.35">
      <c r="A490" s="8" t="s">
        <v>876</v>
      </c>
      <c r="B490" s="5" t="s">
        <v>558</v>
      </c>
      <c r="C490">
        <v>1976</v>
      </c>
      <c r="D490">
        <f t="shared" ca="1" si="16"/>
        <v>49</v>
      </c>
      <c r="E490" s="5" t="s">
        <v>6</v>
      </c>
      <c r="F490" t="s">
        <v>55</v>
      </c>
      <c r="G490" s="4" t="str">
        <f t="shared" si="17"/>
        <v>1.000.000–2.000.000</v>
      </c>
      <c r="H490" t="s">
        <v>139</v>
      </c>
      <c r="I490">
        <v>3</v>
      </c>
      <c r="J490" t="s">
        <v>48</v>
      </c>
      <c r="K490" s="5" t="s">
        <v>38</v>
      </c>
      <c r="L490" s="5" t="s">
        <v>11</v>
      </c>
      <c r="M490" s="5" t="s">
        <v>57</v>
      </c>
      <c r="N490" s="5" t="s">
        <v>58</v>
      </c>
      <c r="O490" s="5" t="s">
        <v>42</v>
      </c>
      <c r="P490" s="5" t="s">
        <v>15</v>
      </c>
      <c r="Q490" s="5" t="s">
        <v>17</v>
      </c>
      <c r="R490" s="5" t="s">
        <v>43</v>
      </c>
      <c r="S490" s="5" t="s">
        <v>21</v>
      </c>
      <c r="T490" s="6" t="s">
        <v>23</v>
      </c>
      <c r="U490" s="6">
        <v>1</v>
      </c>
      <c r="V490" s="6" t="s">
        <v>26</v>
      </c>
      <c r="W490" s="6">
        <v>1</v>
      </c>
      <c r="X490" s="6" t="s">
        <v>46</v>
      </c>
      <c r="Y490">
        <v>0</v>
      </c>
      <c r="Z490" s="5" t="s">
        <v>44</v>
      </c>
      <c r="AA490" s="5" t="s">
        <v>46</v>
      </c>
      <c r="AB490" s="5" t="s">
        <v>46</v>
      </c>
    </row>
    <row r="491" spans="1:28" x14ac:dyDescent="0.35">
      <c r="A491" s="8" t="s">
        <v>877</v>
      </c>
      <c r="B491" s="5" t="s">
        <v>559</v>
      </c>
      <c r="C491">
        <v>1995</v>
      </c>
      <c r="D491">
        <f t="shared" ca="1" si="16"/>
        <v>30</v>
      </c>
      <c r="E491" s="5" t="s">
        <v>6</v>
      </c>
      <c r="F491" t="s">
        <v>55</v>
      </c>
      <c r="G491" s="4" t="str">
        <f t="shared" si="17"/>
        <v>1.000.000–2.000.000</v>
      </c>
      <c r="H491" t="s">
        <v>139</v>
      </c>
      <c r="I491">
        <v>2</v>
      </c>
      <c r="J491" t="s">
        <v>8</v>
      </c>
      <c r="K491" s="5" t="s">
        <v>38</v>
      </c>
      <c r="L491" s="5" t="s">
        <v>11</v>
      </c>
      <c r="M491" s="5" t="s">
        <v>57</v>
      </c>
      <c r="N491" s="5" t="s">
        <v>58</v>
      </c>
      <c r="O491" s="5" t="s">
        <v>42</v>
      </c>
      <c r="P491" s="5" t="s">
        <v>15</v>
      </c>
      <c r="Q491" s="5" t="s">
        <v>17</v>
      </c>
      <c r="R491" s="5" t="s">
        <v>43</v>
      </c>
      <c r="S491" s="5" t="s">
        <v>21</v>
      </c>
      <c r="T491" s="6" t="s">
        <v>23</v>
      </c>
      <c r="U491" s="6">
        <v>1</v>
      </c>
      <c r="V491" s="6" t="s">
        <v>76</v>
      </c>
      <c r="W491" s="6">
        <v>1</v>
      </c>
      <c r="X491" s="6" t="s">
        <v>46</v>
      </c>
      <c r="Y491">
        <v>0</v>
      </c>
      <c r="Z491" s="5" t="s">
        <v>64</v>
      </c>
      <c r="AA491" s="5" t="s">
        <v>46</v>
      </c>
      <c r="AB491" s="5" t="s">
        <v>46</v>
      </c>
    </row>
    <row r="492" spans="1:28" x14ac:dyDescent="0.35">
      <c r="A492" s="8" t="s">
        <v>878</v>
      </c>
      <c r="B492" s="5" t="s">
        <v>560</v>
      </c>
      <c r="C492">
        <v>1996</v>
      </c>
      <c r="D492">
        <f t="shared" ca="1" si="16"/>
        <v>29</v>
      </c>
      <c r="E492" s="5" t="s">
        <v>28</v>
      </c>
      <c r="F492" t="s">
        <v>29</v>
      </c>
      <c r="G492" s="4" t="str">
        <f t="shared" si="17"/>
        <v>&lt;500.000</v>
      </c>
      <c r="H492" t="s">
        <v>63</v>
      </c>
      <c r="I492">
        <v>2</v>
      </c>
      <c r="J492" t="s">
        <v>8</v>
      </c>
      <c r="K492" s="5" t="s">
        <v>38</v>
      </c>
      <c r="L492" s="5" t="s">
        <v>11</v>
      </c>
      <c r="M492" s="5" t="s">
        <v>57</v>
      </c>
      <c r="N492" s="5" t="s">
        <v>58</v>
      </c>
      <c r="O492" s="5" t="s">
        <v>42</v>
      </c>
      <c r="P492" s="5" t="s">
        <v>15</v>
      </c>
      <c r="Q492" s="5" t="s">
        <v>17</v>
      </c>
      <c r="R492" s="5" t="s">
        <v>43</v>
      </c>
      <c r="S492" s="5" t="s">
        <v>21</v>
      </c>
      <c r="T492" s="6" t="s">
        <v>23</v>
      </c>
      <c r="U492" s="6">
        <v>1</v>
      </c>
      <c r="V492" s="6" t="s">
        <v>76</v>
      </c>
      <c r="W492" s="6">
        <v>1</v>
      </c>
      <c r="X492" s="6" t="s">
        <v>46</v>
      </c>
      <c r="Y492">
        <v>0</v>
      </c>
      <c r="Z492" s="5" t="s">
        <v>64</v>
      </c>
      <c r="AA492" s="5" t="s">
        <v>46</v>
      </c>
      <c r="AB492" s="5" t="s">
        <v>46</v>
      </c>
    </row>
    <row r="493" spans="1:28" x14ac:dyDescent="0.35">
      <c r="A493" s="8" t="s">
        <v>879</v>
      </c>
      <c r="B493" s="5" t="s">
        <v>561</v>
      </c>
      <c r="C493">
        <v>1949</v>
      </c>
      <c r="D493">
        <f t="shared" ca="1" si="16"/>
        <v>76</v>
      </c>
      <c r="E493" s="5" t="s">
        <v>6</v>
      </c>
      <c r="F493" t="s">
        <v>55</v>
      </c>
      <c r="G493" s="4" t="str">
        <f t="shared" si="17"/>
        <v>500.000–1.000.000</v>
      </c>
      <c r="H493" t="s">
        <v>30</v>
      </c>
      <c r="I493">
        <v>0</v>
      </c>
      <c r="J493" t="s">
        <v>48</v>
      </c>
      <c r="K493" s="5" t="s">
        <v>38</v>
      </c>
      <c r="L493" s="5" t="s">
        <v>11</v>
      </c>
      <c r="M493" s="5" t="s">
        <v>57</v>
      </c>
      <c r="N493" s="5" t="s">
        <v>58</v>
      </c>
      <c r="O493" s="5" t="s">
        <v>42</v>
      </c>
      <c r="P493" s="5" t="s">
        <v>15</v>
      </c>
      <c r="Q493" s="5" t="s">
        <v>17</v>
      </c>
      <c r="R493" s="5" t="s">
        <v>43</v>
      </c>
      <c r="S493" s="5" t="s">
        <v>21</v>
      </c>
      <c r="T493" s="6" t="s">
        <v>73</v>
      </c>
      <c r="U493" s="6">
        <v>0</v>
      </c>
      <c r="V493" s="6" t="s">
        <v>73</v>
      </c>
      <c r="W493" s="6">
        <v>0</v>
      </c>
      <c r="X493" s="6" t="s">
        <v>46</v>
      </c>
      <c r="Y493">
        <v>0</v>
      </c>
      <c r="Z493" s="5" t="s">
        <v>46</v>
      </c>
      <c r="AA493" s="5" t="s">
        <v>44</v>
      </c>
      <c r="AB493" s="5" t="s">
        <v>74</v>
      </c>
    </row>
    <row r="494" spans="1:28" x14ac:dyDescent="0.35">
      <c r="A494" s="8" t="s">
        <v>880</v>
      </c>
      <c r="B494" s="5" t="s">
        <v>562</v>
      </c>
      <c r="C494">
        <v>1971</v>
      </c>
      <c r="D494">
        <f t="shared" ca="1" si="16"/>
        <v>54</v>
      </c>
      <c r="E494" s="5" t="s">
        <v>6</v>
      </c>
      <c r="F494" t="s">
        <v>29</v>
      </c>
      <c r="G494" s="4" t="str">
        <f t="shared" si="17"/>
        <v>&lt;500.000</v>
      </c>
      <c r="H494" t="s">
        <v>63</v>
      </c>
      <c r="I494">
        <v>2</v>
      </c>
      <c r="J494" t="s">
        <v>48</v>
      </c>
      <c r="K494" s="5" t="s">
        <v>114</v>
      </c>
      <c r="L494" s="5" t="s">
        <v>11</v>
      </c>
      <c r="M494" s="5" t="s">
        <v>57</v>
      </c>
      <c r="N494" s="5" t="s">
        <v>58</v>
      </c>
      <c r="O494" s="5" t="s">
        <v>42</v>
      </c>
      <c r="P494" s="5" t="s">
        <v>15</v>
      </c>
      <c r="Q494" s="5" t="s">
        <v>17</v>
      </c>
      <c r="R494" s="5" t="s">
        <v>43</v>
      </c>
      <c r="S494" s="5" t="s">
        <v>21</v>
      </c>
      <c r="T494" s="6" t="s">
        <v>23</v>
      </c>
      <c r="U494" s="6">
        <v>1</v>
      </c>
      <c r="V494" s="6" t="s">
        <v>26</v>
      </c>
      <c r="W494" s="6">
        <v>1</v>
      </c>
      <c r="X494" s="6" t="s">
        <v>46</v>
      </c>
      <c r="Y494">
        <v>1</v>
      </c>
      <c r="Z494" s="5" t="s">
        <v>46</v>
      </c>
      <c r="AA494" s="5" t="s">
        <v>46</v>
      </c>
      <c r="AB494" s="5" t="s">
        <v>46</v>
      </c>
    </row>
    <row r="495" spans="1:28" x14ac:dyDescent="0.35">
      <c r="A495" s="8" t="s">
        <v>881</v>
      </c>
      <c r="B495" s="5" t="s">
        <v>563</v>
      </c>
      <c r="C495">
        <v>1978</v>
      </c>
      <c r="D495">
        <f t="shared" ca="1" si="16"/>
        <v>47</v>
      </c>
      <c r="E495" s="5" t="s">
        <v>28</v>
      </c>
      <c r="F495" t="s">
        <v>54</v>
      </c>
      <c r="G495" s="4" t="str">
        <f t="shared" si="17"/>
        <v>1.000.000–2.000.000</v>
      </c>
      <c r="H495" t="s">
        <v>139</v>
      </c>
      <c r="I495">
        <v>2</v>
      </c>
      <c r="J495" t="s">
        <v>48</v>
      </c>
      <c r="K495" s="5" t="s">
        <v>114</v>
      </c>
      <c r="L495" s="5" t="s">
        <v>11</v>
      </c>
      <c r="M495" s="5" t="s">
        <v>57</v>
      </c>
      <c r="N495" s="5" t="s">
        <v>58</v>
      </c>
      <c r="O495" s="5" t="s">
        <v>42</v>
      </c>
      <c r="P495" s="5" t="s">
        <v>15</v>
      </c>
      <c r="Q495" s="5" t="s">
        <v>17</v>
      </c>
      <c r="R495" s="5" t="s">
        <v>43</v>
      </c>
      <c r="S495" s="5" t="s">
        <v>21</v>
      </c>
      <c r="T495" s="6" t="s">
        <v>23</v>
      </c>
      <c r="U495" s="6">
        <v>1</v>
      </c>
      <c r="V495" s="6" t="s">
        <v>26</v>
      </c>
      <c r="W495" s="6">
        <v>1</v>
      </c>
      <c r="X495" s="6" t="s">
        <v>46</v>
      </c>
      <c r="Y495">
        <v>1</v>
      </c>
      <c r="Z495" s="5" t="s">
        <v>46</v>
      </c>
      <c r="AA495" s="5" t="s">
        <v>46</v>
      </c>
      <c r="AB495" s="5" t="s">
        <v>35</v>
      </c>
    </row>
    <row r="496" spans="1:28" x14ac:dyDescent="0.35">
      <c r="A496" s="8" t="s">
        <v>882</v>
      </c>
      <c r="B496" s="5" t="s">
        <v>564</v>
      </c>
      <c r="C496">
        <v>1978</v>
      </c>
      <c r="D496">
        <f t="shared" ca="1" si="16"/>
        <v>47</v>
      </c>
      <c r="E496" s="5" t="s">
        <v>6</v>
      </c>
      <c r="F496" t="s">
        <v>137</v>
      </c>
      <c r="G496" s="4" t="str">
        <f t="shared" si="17"/>
        <v>1.000.000–2.000.000</v>
      </c>
      <c r="H496" t="s">
        <v>139</v>
      </c>
      <c r="I496">
        <v>2</v>
      </c>
      <c r="J496" t="s">
        <v>8</v>
      </c>
      <c r="K496" s="5" t="s">
        <v>114</v>
      </c>
      <c r="L496" s="5" t="s">
        <v>11</v>
      </c>
      <c r="M496" s="5" t="s">
        <v>14</v>
      </c>
      <c r="N496" s="5" t="s">
        <v>58</v>
      </c>
      <c r="O496" s="5" t="s">
        <v>42</v>
      </c>
      <c r="P496" s="5" t="s">
        <v>15</v>
      </c>
      <c r="Q496" s="5" t="s">
        <v>17</v>
      </c>
      <c r="R496" s="5" t="s">
        <v>43</v>
      </c>
      <c r="S496" s="5" t="s">
        <v>21</v>
      </c>
      <c r="T496" s="6" t="s">
        <v>23</v>
      </c>
      <c r="U496" s="6">
        <v>1</v>
      </c>
      <c r="V496" s="6" t="s">
        <v>26</v>
      </c>
      <c r="W496" s="6">
        <v>1</v>
      </c>
      <c r="X496" s="6" t="s">
        <v>60</v>
      </c>
      <c r="Y496">
        <v>1</v>
      </c>
      <c r="Z496" s="5" t="s">
        <v>46</v>
      </c>
      <c r="AA496" s="5" t="s">
        <v>46</v>
      </c>
      <c r="AB496" s="5" t="s">
        <v>46</v>
      </c>
    </row>
    <row r="497" spans="1:28" x14ac:dyDescent="0.35">
      <c r="A497" s="8" t="s">
        <v>883</v>
      </c>
      <c r="B497" s="5" t="s">
        <v>515</v>
      </c>
      <c r="C497">
        <v>1973</v>
      </c>
      <c r="D497">
        <f t="shared" ca="1" si="16"/>
        <v>52</v>
      </c>
      <c r="E497" s="5" t="s">
        <v>28</v>
      </c>
      <c r="F497" t="s">
        <v>187</v>
      </c>
      <c r="G497" s="4" t="str">
        <f t="shared" si="17"/>
        <v>2.000.000–3.000.000</v>
      </c>
      <c r="H497" t="s">
        <v>139</v>
      </c>
      <c r="I497">
        <v>2</v>
      </c>
      <c r="J497" t="s">
        <v>8</v>
      </c>
      <c r="K497" s="5" t="s">
        <v>114</v>
      </c>
      <c r="L497" s="5" t="s">
        <v>11</v>
      </c>
      <c r="M497" s="5" t="s">
        <v>14</v>
      </c>
      <c r="N497" s="5" t="s">
        <v>58</v>
      </c>
      <c r="O497" s="5" t="s">
        <v>42</v>
      </c>
      <c r="P497" s="5" t="s">
        <v>15</v>
      </c>
      <c r="Q497" s="5" t="s">
        <v>17</v>
      </c>
      <c r="R497" s="5" t="s">
        <v>43</v>
      </c>
      <c r="S497" s="5" t="s">
        <v>21</v>
      </c>
      <c r="T497" s="6" t="s">
        <v>23</v>
      </c>
      <c r="U497" s="6">
        <v>1</v>
      </c>
      <c r="V497" s="6" t="s">
        <v>26</v>
      </c>
      <c r="W497" s="6">
        <v>1</v>
      </c>
      <c r="X497" s="6" t="s">
        <v>60</v>
      </c>
      <c r="Y497">
        <v>1</v>
      </c>
      <c r="Z497" s="5" t="s">
        <v>46</v>
      </c>
      <c r="AA497" s="5" t="s">
        <v>46</v>
      </c>
      <c r="AB497" s="5" t="s">
        <v>46</v>
      </c>
    </row>
    <row r="498" spans="1:28" x14ac:dyDescent="0.35">
      <c r="A498" s="8" t="s">
        <v>884</v>
      </c>
      <c r="B498" s="5" t="s">
        <v>565</v>
      </c>
      <c r="C498">
        <v>1942</v>
      </c>
      <c r="D498">
        <f t="shared" ca="1" si="16"/>
        <v>83</v>
      </c>
      <c r="E498" s="5" t="s">
        <v>6</v>
      </c>
      <c r="F498" t="s">
        <v>29</v>
      </c>
      <c r="G498" s="4" t="str">
        <f t="shared" si="17"/>
        <v>&lt;500.000</v>
      </c>
      <c r="H498" t="s">
        <v>63</v>
      </c>
      <c r="I498">
        <v>0</v>
      </c>
      <c r="J498" t="s">
        <v>8</v>
      </c>
      <c r="K498" s="5" t="s">
        <v>38</v>
      </c>
      <c r="L498" s="5" t="s">
        <v>11</v>
      </c>
      <c r="M498" s="5" t="s">
        <v>57</v>
      </c>
      <c r="N498" s="5" t="s">
        <v>58</v>
      </c>
      <c r="O498" s="5" t="s">
        <v>42</v>
      </c>
      <c r="P498" s="5" t="s">
        <v>15</v>
      </c>
      <c r="Q498" s="5" t="s">
        <v>17</v>
      </c>
      <c r="R498" s="5" t="s">
        <v>43</v>
      </c>
      <c r="S498" s="5" t="s">
        <v>21</v>
      </c>
      <c r="T498" s="6" t="s">
        <v>73</v>
      </c>
      <c r="U498" s="6">
        <v>0</v>
      </c>
      <c r="V498" s="6" t="s">
        <v>73</v>
      </c>
      <c r="W498" s="6">
        <v>0</v>
      </c>
      <c r="X498" s="6" t="s">
        <v>46</v>
      </c>
      <c r="Y498">
        <v>0</v>
      </c>
      <c r="Z498" s="5" t="s">
        <v>46</v>
      </c>
      <c r="AA498" s="5" t="s">
        <v>44</v>
      </c>
      <c r="AB498" s="5" t="s">
        <v>46</v>
      </c>
    </row>
    <row r="499" spans="1:28" x14ac:dyDescent="0.35">
      <c r="A499" s="8" t="s">
        <v>885</v>
      </c>
      <c r="B499" s="5" t="s">
        <v>277</v>
      </c>
      <c r="C499">
        <v>1982</v>
      </c>
      <c r="D499">
        <f t="shared" ca="1" si="16"/>
        <v>43</v>
      </c>
      <c r="E499" s="5" t="s">
        <v>6</v>
      </c>
      <c r="F499" t="s">
        <v>151</v>
      </c>
      <c r="G499" s="4" t="str">
        <f t="shared" si="17"/>
        <v>500.000–1.000.000</v>
      </c>
      <c r="H499" t="s">
        <v>30</v>
      </c>
      <c r="I499">
        <v>2</v>
      </c>
      <c r="J499" t="s">
        <v>72</v>
      </c>
      <c r="K499" s="5" t="s">
        <v>38</v>
      </c>
      <c r="L499" s="5" t="s">
        <v>11</v>
      </c>
      <c r="M499" s="5" t="s">
        <v>57</v>
      </c>
      <c r="N499" s="5" t="s">
        <v>58</v>
      </c>
      <c r="O499" s="5" t="s">
        <v>89</v>
      </c>
      <c r="P499" s="5" t="s">
        <v>15</v>
      </c>
      <c r="Q499" s="5" t="s">
        <v>17</v>
      </c>
      <c r="R499" s="5" t="s">
        <v>43</v>
      </c>
      <c r="S499" s="5" t="s">
        <v>21</v>
      </c>
      <c r="T499" s="6" t="s">
        <v>73</v>
      </c>
      <c r="U499" s="6">
        <v>0</v>
      </c>
      <c r="V499" s="6" t="s">
        <v>73</v>
      </c>
      <c r="W499" s="6">
        <v>0</v>
      </c>
      <c r="X499" s="6" t="s">
        <v>46</v>
      </c>
      <c r="Y499">
        <v>2</v>
      </c>
      <c r="Z499" s="5" t="s">
        <v>46</v>
      </c>
      <c r="AA499" s="5" t="s">
        <v>46</v>
      </c>
      <c r="AB499" s="5" t="s">
        <v>46</v>
      </c>
    </row>
    <row r="500" spans="1:28" x14ac:dyDescent="0.35">
      <c r="A500" s="8" t="s">
        <v>886</v>
      </c>
      <c r="B500" s="5" t="s">
        <v>566</v>
      </c>
      <c r="C500">
        <v>1983</v>
      </c>
      <c r="D500">
        <f t="shared" ca="1" si="16"/>
        <v>42</v>
      </c>
      <c r="E500" s="5" t="s">
        <v>28</v>
      </c>
      <c r="F500" t="s">
        <v>29</v>
      </c>
      <c r="G500" s="4" t="str">
        <f t="shared" si="17"/>
        <v>&lt;500.000</v>
      </c>
      <c r="H500" t="s">
        <v>63</v>
      </c>
      <c r="I500">
        <v>2</v>
      </c>
      <c r="J500" t="s">
        <v>72</v>
      </c>
      <c r="K500" s="5" t="s">
        <v>38</v>
      </c>
      <c r="L500" s="5" t="s">
        <v>11</v>
      </c>
      <c r="M500" s="5" t="s">
        <v>57</v>
      </c>
      <c r="N500" s="5" t="s">
        <v>58</v>
      </c>
      <c r="O500" s="5" t="s">
        <v>89</v>
      </c>
      <c r="P500" s="5" t="s">
        <v>15</v>
      </c>
      <c r="Q500" s="5" t="s">
        <v>17</v>
      </c>
      <c r="R500" s="5" t="s">
        <v>43</v>
      </c>
      <c r="S500" s="5" t="s">
        <v>21</v>
      </c>
      <c r="T500" s="6" t="s">
        <v>73</v>
      </c>
      <c r="U500" s="6">
        <v>0</v>
      </c>
      <c r="V500" s="6" t="s">
        <v>73</v>
      </c>
      <c r="W500" s="6">
        <v>0</v>
      </c>
      <c r="X500" s="6" t="s">
        <v>46</v>
      </c>
      <c r="Y500">
        <v>2</v>
      </c>
      <c r="Z500" s="5" t="s">
        <v>46</v>
      </c>
      <c r="AA500" s="5" t="s">
        <v>46</v>
      </c>
      <c r="AB500" s="5" t="s">
        <v>46</v>
      </c>
    </row>
    <row r="501" spans="1:28" x14ac:dyDescent="0.35">
      <c r="A501" s="8" t="s">
        <v>887</v>
      </c>
      <c r="B501" s="5" t="s">
        <v>567</v>
      </c>
      <c r="C501">
        <v>1960</v>
      </c>
      <c r="D501">
        <f t="shared" ca="1" si="16"/>
        <v>65</v>
      </c>
      <c r="E501" s="5" t="s">
        <v>6</v>
      </c>
      <c r="F501" t="s">
        <v>137</v>
      </c>
      <c r="G501" s="4" t="str">
        <f t="shared" si="17"/>
        <v>500.000–1.000.000</v>
      </c>
      <c r="H501" t="s">
        <v>30</v>
      </c>
      <c r="I501">
        <v>0</v>
      </c>
      <c r="J501" t="s">
        <v>8</v>
      </c>
      <c r="K501" s="5" t="s">
        <v>38</v>
      </c>
      <c r="L501" s="5" t="s">
        <v>11</v>
      </c>
      <c r="M501" s="5" t="s">
        <v>57</v>
      </c>
      <c r="N501" s="5" t="s">
        <v>58</v>
      </c>
      <c r="O501" s="5" t="s">
        <v>42</v>
      </c>
      <c r="P501" s="5" t="s">
        <v>15</v>
      </c>
      <c r="Q501" s="5" t="s">
        <v>17</v>
      </c>
      <c r="R501" s="5" t="s">
        <v>43</v>
      </c>
      <c r="S501" s="5" t="s">
        <v>21</v>
      </c>
      <c r="T501" s="6" t="s">
        <v>23</v>
      </c>
      <c r="U501" s="6">
        <v>1</v>
      </c>
      <c r="V501" s="6" t="s">
        <v>26</v>
      </c>
      <c r="W501" s="6">
        <v>1</v>
      </c>
      <c r="X501" s="6" t="s">
        <v>46</v>
      </c>
      <c r="Y501">
        <v>0</v>
      </c>
      <c r="Z501" s="5" t="s">
        <v>46</v>
      </c>
      <c r="AA501" s="5" t="s">
        <v>64</v>
      </c>
      <c r="AB501" s="5" t="s">
        <v>46</v>
      </c>
    </row>
    <row r="502" spans="1:28" x14ac:dyDescent="0.35">
      <c r="A502" s="8" t="s">
        <v>888</v>
      </c>
      <c r="B502" s="5" t="s">
        <v>568</v>
      </c>
      <c r="C502">
        <v>1964</v>
      </c>
      <c r="D502">
        <f t="shared" ca="1" si="16"/>
        <v>61</v>
      </c>
      <c r="E502" s="5" t="s">
        <v>28</v>
      </c>
      <c r="F502" t="s">
        <v>29</v>
      </c>
      <c r="G502" s="4" t="str">
        <f t="shared" si="17"/>
        <v>&lt;500.000</v>
      </c>
      <c r="H502" t="s">
        <v>30</v>
      </c>
      <c r="I502">
        <v>0</v>
      </c>
      <c r="J502" t="s">
        <v>8</v>
      </c>
      <c r="K502" s="5" t="s">
        <v>38</v>
      </c>
      <c r="L502" s="5" t="s">
        <v>11</v>
      </c>
      <c r="M502" s="5" t="s">
        <v>57</v>
      </c>
      <c r="N502" s="5" t="s">
        <v>58</v>
      </c>
      <c r="O502" s="5" t="s">
        <v>42</v>
      </c>
      <c r="P502" s="5" t="s">
        <v>15</v>
      </c>
      <c r="Q502" s="5" t="s">
        <v>17</v>
      </c>
      <c r="R502" s="5" t="s">
        <v>43</v>
      </c>
      <c r="S502" s="5" t="s">
        <v>21</v>
      </c>
      <c r="T502" s="6" t="s">
        <v>23</v>
      </c>
      <c r="U502" s="6">
        <v>1</v>
      </c>
      <c r="V502" s="6" t="s">
        <v>26</v>
      </c>
      <c r="W502" s="6">
        <v>1</v>
      </c>
      <c r="X502" s="6" t="s">
        <v>46</v>
      </c>
      <c r="Y502">
        <v>0</v>
      </c>
      <c r="Z502" s="5" t="s">
        <v>46</v>
      </c>
      <c r="AA502" s="5" t="s">
        <v>64</v>
      </c>
      <c r="AB502" s="5" t="s">
        <v>46</v>
      </c>
    </row>
    <row r="503" spans="1:28" x14ac:dyDescent="0.35">
      <c r="A503" s="8" t="s">
        <v>889</v>
      </c>
      <c r="B503" s="5" t="s">
        <v>569</v>
      </c>
      <c r="C503">
        <v>1998</v>
      </c>
      <c r="D503">
        <f t="shared" ca="1" si="16"/>
        <v>27</v>
      </c>
      <c r="E503" s="5" t="s">
        <v>6</v>
      </c>
      <c r="F503" t="s">
        <v>137</v>
      </c>
      <c r="G503" s="4" t="str">
        <f t="shared" si="17"/>
        <v>500.000–1.000.000</v>
      </c>
      <c r="H503" t="s">
        <v>30</v>
      </c>
      <c r="I503">
        <v>2</v>
      </c>
      <c r="J503" t="s">
        <v>48</v>
      </c>
      <c r="K503" s="5" t="s">
        <v>38</v>
      </c>
      <c r="L503" s="5" t="s">
        <v>49</v>
      </c>
      <c r="M503" s="5" t="s">
        <v>57</v>
      </c>
      <c r="N503" s="5" t="s">
        <v>58</v>
      </c>
      <c r="O503" s="5" t="s">
        <v>42</v>
      </c>
      <c r="P503" s="5" t="s">
        <v>15</v>
      </c>
      <c r="Q503" s="5" t="s">
        <v>17</v>
      </c>
      <c r="R503" s="5" t="s">
        <v>43</v>
      </c>
      <c r="S503" s="5" t="s">
        <v>21</v>
      </c>
      <c r="T503" s="6" t="s">
        <v>73</v>
      </c>
      <c r="U503" s="6">
        <v>0</v>
      </c>
      <c r="V503" s="6" t="s">
        <v>76</v>
      </c>
      <c r="W503" s="6">
        <v>1</v>
      </c>
      <c r="X503" s="6" t="s">
        <v>46</v>
      </c>
      <c r="Y503">
        <v>1</v>
      </c>
      <c r="Z503" s="5" t="s">
        <v>44</v>
      </c>
      <c r="AA503" s="5" t="s">
        <v>46</v>
      </c>
      <c r="AB503" s="5" t="s">
        <v>46</v>
      </c>
    </row>
    <row r="504" spans="1:28" x14ac:dyDescent="0.35">
      <c r="A504" s="8" t="s">
        <v>890</v>
      </c>
      <c r="B504" s="5" t="s">
        <v>570</v>
      </c>
      <c r="C504">
        <v>2001</v>
      </c>
      <c r="D504">
        <f t="shared" ca="1" si="16"/>
        <v>24</v>
      </c>
      <c r="E504" s="5" t="s">
        <v>28</v>
      </c>
      <c r="F504" t="s">
        <v>29</v>
      </c>
      <c r="G504" s="4" t="str">
        <f t="shared" si="17"/>
        <v>500.000–1.000.000</v>
      </c>
      <c r="H504" t="s">
        <v>7</v>
      </c>
      <c r="I504">
        <v>2</v>
      </c>
      <c r="J504" t="s">
        <v>48</v>
      </c>
      <c r="K504" s="5" t="s">
        <v>38</v>
      </c>
      <c r="L504" s="5" t="s">
        <v>49</v>
      </c>
      <c r="M504" s="5" t="s">
        <v>57</v>
      </c>
      <c r="N504" s="5" t="s">
        <v>58</v>
      </c>
      <c r="O504" s="5" t="s">
        <v>42</v>
      </c>
      <c r="P504" s="5" t="s">
        <v>15</v>
      </c>
      <c r="Q504" s="5" t="s">
        <v>17</v>
      </c>
      <c r="R504" s="5" t="s">
        <v>43</v>
      </c>
      <c r="S504" s="5" t="s">
        <v>21</v>
      </c>
      <c r="T504" s="6" t="s">
        <v>73</v>
      </c>
      <c r="U504" s="6">
        <v>0</v>
      </c>
      <c r="V504" s="6" t="s">
        <v>76</v>
      </c>
      <c r="W504" s="6">
        <v>1</v>
      </c>
      <c r="X504" s="6" t="s">
        <v>46</v>
      </c>
      <c r="Y504">
        <v>1</v>
      </c>
      <c r="Z504" s="5" t="s">
        <v>44</v>
      </c>
      <c r="AA504" s="5" t="s">
        <v>46</v>
      </c>
      <c r="AB504" s="5" t="s">
        <v>46</v>
      </c>
    </row>
    <row r="505" spans="1:28" x14ac:dyDescent="0.35">
      <c r="A505" s="8" t="s">
        <v>891</v>
      </c>
      <c r="B505" s="5" t="s">
        <v>571</v>
      </c>
      <c r="C505">
        <v>1971</v>
      </c>
      <c r="D505">
        <f t="shared" ca="1" si="16"/>
        <v>54</v>
      </c>
      <c r="E505" s="5" t="s">
        <v>6</v>
      </c>
      <c r="F505" t="s">
        <v>54</v>
      </c>
      <c r="G505" s="4" t="str">
        <f t="shared" si="17"/>
        <v>500.000–1.000.000</v>
      </c>
      <c r="H505" t="s">
        <v>30</v>
      </c>
      <c r="I505">
        <v>1</v>
      </c>
      <c r="J505" t="s">
        <v>48</v>
      </c>
      <c r="K505" s="5" t="s">
        <v>114</v>
      </c>
      <c r="L505" s="5" t="s">
        <v>11</v>
      </c>
      <c r="M505" s="5" t="s">
        <v>57</v>
      </c>
      <c r="N505" s="5" t="s">
        <v>58</v>
      </c>
      <c r="O505" s="5" t="s">
        <v>42</v>
      </c>
      <c r="P505" s="5" t="s">
        <v>15</v>
      </c>
      <c r="Q505" s="5" t="s">
        <v>17</v>
      </c>
      <c r="R505" s="5" t="s">
        <v>43</v>
      </c>
      <c r="S505" s="5" t="s">
        <v>21</v>
      </c>
      <c r="T505" s="6" t="s">
        <v>73</v>
      </c>
      <c r="U505" s="6">
        <v>0</v>
      </c>
      <c r="V505" s="6" t="s">
        <v>76</v>
      </c>
      <c r="W505" s="6">
        <v>1</v>
      </c>
      <c r="X505" s="6" t="s">
        <v>46</v>
      </c>
      <c r="Y505">
        <v>1</v>
      </c>
      <c r="Z505" s="5" t="s">
        <v>46</v>
      </c>
      <c r="AA505" s="5" t="s">
        <v>46</v>
      </c>
      <c r="AB505" s="5" t="s">
        <v>74</v>
      </c>
    </row>
    <row r="506" spans="1:28" x14ac:dyDescent="0.35">
      <c r="A506" s="8" t="s">
        <v>892</v>
      </c>
      <c r="B506" s="5" t="s">
        <v>572</v>
      </c>
      <c r="C506">
        <v>1977</v>
      </c>
      <c r="D506">
        <f t="shared" ca="1" si="16"/>
        <v>48</v>
      </c>
      <c r="E506" s="5" t="s">
        <v>6</v>
      </c>
      <c r="F506" t="s">
        <v>137</v>
      </c>
      <c r="G506" s="4" t="str">
        <f t="shared" si="17"/>
        <v>500.000–1.000.000</v>
      </c>
      <c r="H506" t="s">
        <v>7</v>
      </c>
      <c r="I506">
        <v>3</v>
      </c>
      <c r="J506" t="s">
        <v>8</v>
      </c>
      <c r="K506" s="5" t="s">
        <v>38</v>
      </c>
      <c r="L506" s="5" t="s">
        <v>11</v>
      </c>
      <c r="M506" s="5" t="s">
        <v>57</v>
      </c>
      <c r="N506" s="5" t="s">
        <v>58</v>
      </c>
      <c r="O506" s="5" t="s">
        <v>42</v>
      </c>
      <c r="P506" s="5" t="s">
        <v>15</v>
      </c>
      <c r="Q506" s="5" t="s">
        <v>17</v>
      </c>
      <c r="R506" s="5" t="s">
        <v>43</v>
      </c>
      <c r="S506" s="5" t="s">
        <v>21</v>
      </c>
      <c r="T506" s="6" t="s">
        <v>23</v>
      </c>
      <c r="U506" s="6">
        <v>1</v>
      </c>
      <c r="V506" s="6" t="s">
        <v>26</v>
      </c>
      <c r="W506" s="6">
        <v>1</v>
      </c>
      <c r="X506" s="6" t="s">
        <v>46</v>
      </c>
      <c r="Y506">
        <v>1</v>
      </c>
      <c r="Z506" s="5" t="s">
        <v>46</v>
      </c>
      <c r="AA506" s="5" t="s">
        <v>46</v>
      </c>
      <c r="AB506" s="5" t="s">
        <v>46</v>
      </c>
    </row>
    <row r="507" spans="1:28" x14ac:dyDescent="0.35">
      <c r="A507" s="8" t="s">
        <v>893</v>
      </c>
      <c r="B507" s="5" t="s">
        <v>573</v>
      </c>
      <c r="C507">
        <v>1980</v>
      </c>
      <c r="D507">
        <f t="shared" ca="1" si="16"/>
        <v>45</v>
      </c>
      <c r="E507" s="5" t="s">
        <v>28</v>
      </c>
      <c r="F507" t="s">
        <v>29</v>
      </c>
      <c r="G507" s="4" t="str">
        <f t="shared" si="17"/>
        <v>&lt;500.000</v>
      </c>
      <c r="H507" t="s">
        <v>30</v>
      </c>
      <c r="I507">
        <v>3</v>
      </c>
      <c r="J507" t="s">
        <v>8</v>
      </c>
      <c r="K507" s="5" t="s">
        <v>38</v>
      </c>
      <c r="L507" s="5" t="s">
        <v>11</v>
      </c>
      <c r="M507" s="5" t="s">
        <v>57</v>
      </c>
      <c r="N507" s="5" t="s">
        <v>58</v>
      </c>
      <c r="O507" s="5" t="s">
        <v>42</v>
      </c>
      <c r="P507" s="5" t="s">
        <v>15</v>
      </c>
      <c r="Q507" s="5" t="s">
        <v>17</v>
      </c>
      <c r="R507" s="5" t="s">
        <v>43</v>
      </c>
      <c r="S507" s="5" t="s">
        <v>21</v>
      </c>
      <c r="T507" s="6" t="s">
        <v>23</v>
      </c>
      <c r="U507" s="6">
        <v>1</v>
      </c>
      <c r="V507" s="6" t="s">
        <v>26</v>
      </c>
      <c r="W507" s="6">
        <v>1</v>
      </c>
      <c r="X507" s="6" t="s">
        <v>46</v>
      </c>
      <c r="Y507">
        <v>1</v>
      </c>
      <c r="Z507" s="5" t="s">
        <v>46</v>
      </c>
      <c r="AA507" s="5" t="s">
        <v>46</v>
      </c>
      <c r="AB507" s="5" t="s">
        <v>46</v>
      </c>
    </row>
    <row r="508" spans="1:28" x14ac:dyDescent="0.35">
      <c r="A508" s="8" t="s">
        <v>894</v>
      </c>
      <c r="B508" s="5" t="s">
        <v>574</v>
      </c>
      <c r="C508">
        <v>1979</v>
      </c>
      <c r="D508">
        <f t="shared" ca="1" si="16"/>
        <v>46</v>
      </c>
      <c r="E508" s="5" t="s">
        <v>6</v>
      </c>
      <c r="F508" t="s">
        <v>151</v>
      </c>
      <c r="G508" s="4" t="str">
        <f t="shared" si="17"/>
        <v>500.000–1.000.000</v>
      </c>
      <c r="H508" t="s">
        <v>7</v>
      </c>
      <c r="I508">
        <v>3</v>
      </c>
      <c r="J508" t="s">
        <v>72</v>
      </c>
      <c r="K508" s="5" t="s">
        <v>38</v>
      </c>
      <c r="L508" s="5" t="s">
        <v>11</v>
      </c>
      <c r="M508" s="5" t="s">
        <v>57</v>
      </c>
      <c r="N508" s="5" t="s">
        <v>58</v>
      </c>
      <c r="O508" s="5" t="s">
        <v>42</v>
      </c>
      <c r="P508" s="5" t="s">
        <v>15</v>
      </c>
      <c r="Q508" s="5" t="s">
        <v>17</v>
      </c>
      <c r="R508" s="5" t="s">
        <v>43</v>
      </c>
      <c r="S508" s="5" t="s">
        <v>21</v>
      </c>
      <c r="T508" s="6" t="s">
        <v>23</v>
      </c>
      <c r="U508" s="6">
        <v>1</v>
      </c>
      <c r="V508" s="6" t="s">
        <v>575</v>
      </c>
      <c r="W508" s="6">
        <v>1</v>
      </c>
      <c r="X508" s="6" t="s">
        <v>46</v>
      </c>
      <c r="Y508">
        <v>1</v>
      </c>
      <c r="Z508" s="5" t="s">
        <v>46</v>
      </c>
      <c r="AA508" s="5" t="s">
        <v>46</v>
      </c>
      <c r="AB508" s="5" t="s">
        <v>46</v>
      </c>
    </row>
    <row r="509" spans="1:28" x14ac:dyDescent="0.35">
      <c r="A509" s="8" t="s">
        <v>895</v>
      </c>
      <c r="B509" s="5" t="s">
        <v>552</v>
      </c>
      <c r="C509">
        <v>1975</v>
      </c>
      <c r="D509">
        <f t="shared" ca="1" si="16"/>
        <v>50</v>
      </c>
      <c r="E509" s="5" t="s">
        <v>6</v>
      </c>
      <c r="F509" t="s">
        <v>553</v>
      </c>
      <c r="G509" s="4" t="str">
        <f t="shared" si="17"/>
        <v>2.000.000–3.000.000</v>
      </c>
      <c r="H509" t="s">
        <v>139</v>
      </c>
      <c r="I509">
        <v>3</v>
      </c>
      <c r="J509" t="s">
        <v>48</v>
      </c>
      <c r="K509" s="5" t="s">
        <v>38</v>
      </c>
      <c r="L509" s="5" t="s">
        <v>11</v>
      </c>
      <c r="M509" s="5" t="s">
        <v>57</v>
      </c>
      <c r="N509" s="5" t="s">
        <v>58</v>
      </c>
      <c r="O509" s="5" t="s">
        <v>42</v>
      </c>
      <c r="P509" s="5" t="s">
        <v>15</v>
      </c>
      <c r="Q509" s="5" t="s">
        <v>17</v>
      </c>
      <c r="R509" s="5" t="s">
        <v>43</v>
      </c>
      <c r="S509" s="5" t="s">
        <v>21</v>
      </c>
      <c r="T509" s="6" t="s">
        <v>23</v>
      </c>
      <c r="U509" s="6">
        <v>1</v>
      </c>
      <c r="V509" s="6" t="s">
        <v>26</v>
      </c>
      <c r="W509" s="6">
        <v>1</v>
      </c>
      <c r="X509" s="6" t="s">
        <v>46</v>
      </c>
      <c r="Y509">
        <v>1</v>
      </c>
      <c r="Z509" s="5" t="s">
        <v>46</v>
      </c>
      <c r="AA509" s="5" t="s">
        <v>46</v>
      </c>
      <c r="AB509" s="5" t="s">
        <v>46</v>
      </c>
    </row>
    <row r="510" spans="1:28" x14ac:dyDescent="0.35">
      <c r="A510" s="8" t="s">
        <v>896</v>
      </c>
      <c r="B510" s="5" t="s">
        <v>97</v>
      </c>
      <c r="C510">
        <v>1980</v>
      </c>
      <c r="D510">
        <f t="shared" ca="1" si="16"/>
        <v>45</v>
      </c>
      <c r="E510" s="5" t="s">
        <v>28</v>
      </c>
      <c r="F510" t="s">
        <v>29</v>
      </c>
      <c r="G510" s="4" t="str">
        <f t="shared" si="17"/>
        <v>500.000–1.000.000</v>
      </c>
      <c r="H510" t="s">
        <v>7</v>
      </c>
      <c r="I510">
        <v>3</v>
      </c>
      <c r="J510" t="s">
        <v>48</v>
      </c>
      <c r="K510" s="5" t="s">
        <v>38</v>
      </c>
      <c r="L510" s="5" t="s">
        <v>11</v>
      </c>
      <c r="M510" s="5" t="s">
        <v>57</v>
      </c>
      <c r="N510" s="5" t="s">
        <v>58</v>
      </c>
      <c r="O510" s="5" t="s">
        <v>42</v>
      </c>
      <c r="P510" s="5" t="s">
        <v>15</v>
      </c>
      <c r="Q510" s="5" t="s">
        <v>17</v>
      </c>
      <c r="R510" s="5" t="s">
        <v>43</v>
      </c>
      <c r="S510" s="5" t="s">
        <v>21</v>
      </c>
      <c r="T510" s="6" t="s">
        <v>23</v>
      </c>
      <c r="U510" s="6">
        <v>1</v>
      </c>
      <c r="V510" s="6" t="s">
        <v>26</v>
      </c>
      <c r="W510" s="6">
        <v>1</v>
      </c>
      <c r="X510" s="6" t="s">
        <v>46</v>
      </c>
      <c r="Y510">
        <v>1</v>
      </c>
      <c r="Z510" s="5" t="s">
        <v>46</v>
      </c>
      <c r="AA510" s="5" t="s">
        <v>46</v>
      </c>
      <c r="AB510" s="5" t="s">
        <v>46</v>
      </c>
    </row>
    <row r="511" spans="1:28" x14ac:dyDescent="0.35">
      <c r="A511" s="8" t="s">
        <v>897</v>
      </c>
      <c r="B511" s="5" t="s">
        <v>576</v>
      </c>
      <c r="C511">
        <v>2000</v>
      </c>
      <c r="D511">
        <f t="shared" ca="1" si="16"/>
        <v>25</v>
      </c>
      <c r="E511" s="5" t="s">
        <v>6</v>
      </c>
      <c r="F511" t="s">
        <v>54</v>
      </c>
      <c r="G511" s="4" t="str">
        <f t="shared" si="17"/>
        <v>1.000.000–2.000.000</v>
      </c>
      <c r="H511" t="s">
        <v>139</v>
      </c>
      <c r="I511">
        <v>0</v>
      </c>
      <c r="J511" t="s">
        <v>72</v>
      </c>
      <c r="K511" s="5" t="s">
        <v>38</v>
      </c>
      <c r="L511" s="5" t="s">
        <v>49</v>
      </c>
      <c r="M511" s="5" t="s">
        <v>57</v>
      </c>
      <c r="N511" s="5" t="s">
        <v>58</v>
      </c>
      <c r="O511" s="5" t="s">
        <v>42</v>
      </c>
      <c r="P511" s="5" t="s">
        <v>15</v>
      </c>
      <c r="Q511" s="5" t="s">
        <v>17</v>
      </c>
      <c r="R511" s="5" t="s">
        <v>43</v>
      </c>
      <c r="S511" s="5" t="s">
        <v>21</v>
      </c>
      <c r="T511" s="6" t="s">
        <v>23</v>
      </c>
      <c r="U511" s="6">
        <v>1</v>
      </c>
      <c r="V511" s="6" t="s">
        <v>26</v>
      </c>
      <c r="W511" s="6">
        <v>1</v>
      </c>
      <c r="X511" s="6" t="s">
        <v>46</v>
      </c>
      <c r="Y511">
        <v>0</v>
      </c>
      <c r="Z511" s="5" t="s">
        <v>46</v>
      </c>
      <c r="AA511" s="5" t="s">
        <v>46</v>
      </c>
      <c r="AB511" s="5" t="s">
        <v>46</v>
      </c>
    </row>
    <row r="512" spans="1:28" x14ac:dyDescent="0.35">
      <c r="A512" s="8" t="s">
        <v>898</v>
      </c>
      <c r="B512" s="5" t="s">
        <v>577</v>
      </c>
      <c r="C512">
        <v>2001</v>
      </c>
      <c r="D512">
        <f t="shared" ca="1" si="16"/>
        <v>24</v>
      </c>
      <c r="E512" s="5" t="s">
        <v>28</v>
      </c>
      <c r="F512" t="s">
        <v>137</v>
      </c>
      <c r="G512" s="4" t="str">
        <f t="shared" si="17"/>
        <v>500.000–1.000.000</v>
      </c>
      <c r="H512" t="s">
        <v>7</v>
      </c>
      <c r="I512">
        <v>0</v>
      </c>
      <c r="J512" t="s">
        <v>72</v>
      </c>
      <c r="K512" s="5" t="s">
        <v>38</v>
      </c>
      <c r="L512" s="5" t="s">
        <v>49</v>
      </c>
      <c r="M512" s="5" t="s">
        <v>57</v>
      </c>
      <c r="N512" s="5" t="s">
        <v>58</v>
      </c>
      <c r="O512" s="5" t="s">
        <v>42</v>
      </c>
      <c r="P512" s="5" t="s">
        <v>15</v>
      </c>
      <c r="Q512" s="5" t="s">
        <v>17</v>
      </c>
      <c r="R512" s="5" t="s">
        <v>43</v>
      </c>
      <c r="S512" s="5" t="s">
        <v>21</v>
      </c>
      <c r="T512" s="6" t="s">
        <v>23</v>
      </c>
      <c r="U512" s="6">
        <v>1</v>
      </c>
      <c r="V512" s="6" t="s">
        <v>26</v>
      </c>
      <c r="W512" s="6">
        <v>1</v>
      </c>
      <c r="X512" s="6" t="s">
        <v>46</v>
      </c>
      <c r="Y512">
        <v>0</v>
      </c>
      <c r="Z512" s="5" t="s">
        <v>46</v>
      </c>
      <c r="AA512" s="5" t="s">
        <v>46</v>
      </c>
      <c r="AB512" s="5" t="s">
        <v>46</v>
      </c>
    </row>
    <row r="513" spans="1:28" x14ac:dyDescent="0.35">
      <c r="A513" s="8" t="s">
        <v>899</v>
      </c>
      <c r="B513" s="5" t="s">
        <v>578</v>
      </c>
      <c r="C513">
        <v>1982</v>
      </c>
      <c r="D513">
        <f t="shared" ca="1" si="16"/>
        <v>43</v>
      </c>
      <c r="E513" s="5" t="s">
        <v>6</v>
      </c>
      <c r="F513" t="s">
        <v>137</v>
      </c>
      <c r="G513" s="4" t="str">
        <f t="shared" si="17"/>
        <v>500.000–1.000.000</v>
      </c>
      <c r="H513" t="s">
        <v>7</v>
      </c>
      <c r="I513">
        <v>3</v>
      </c>
      <c r="J513" t="s">
        <v>72</v>
      </c>
      <c r="K513" s="5" t="s">
        <v>38</v>
      </c>
      <c r="L513" s="5" t="s">
        <v>39</v>
      </c>
      <c r="M513" s="5" t="s">
        <v>57</v>
      </c>
      <c r="N513" s="5" t="s">
        <v>58</v>
      </c>
      <c r="O513" s="5" t="s">
        <v>42</v>
      </c>
      <c r="P513" s="5" t="s">
        <v>15</v>
      </c>
      <c r="Q513" s="5" t="s">
        <v>17</v>
      </c>
      <c r="R513" s="5" t="s">
        <v>43</v>
      </c>
      <c r="S513" s="5" t="s">
        <v>21</v>
      </c>
      <c r="T513" s="6" t="s">
        <v>84</v>
      </c>
      <c r="U513" s="6">
        <v>1</v>
      </c>
      <c r="V513" s="6" t="s">
        <v>26</v>
      </c>
      <c r="W513" s="6">
        <v>1</v>
      </c>
      <c r="X513" s="6" t="s">
        <v>44</v>
      </c>
      <c r="Y513">
        <v>2</v>
      </c>
      <c r="Z513" s="5" t="s">
        <v>44</v>
      </c>
      <c r="AA513" s="5" t="s">
        <v>46</v>
      </c>
      <c r="AB513" s="5" t="s">
        <v>46</v>
      </c>
    </row>
    <row r="514" spans="1:28" x14ac:dyDescent="0.35">
      <c r="A514" s="8" t="s">
        <v>900</v>
      </c>
      <c r="B514" s="5" t="s">
        <v>579</v>
      </c>
      <c r="C514">
        <v>1985</v>
      </c>
      <c r="D514">
        <f t="shared" ca="1" si="16"/>
        <v>40</v>
      </c>
      <c r="E514" s="5" t="s">
        <v>28</v>
      </c>
      <c r="F514" t="s">
        <v>29</v>
      </c>
      <c r="G514" s="4" t="str">
        <f t="shared" si="17"/>
        <v>500.000–1.000.000</v>
      </c>
      <c r="H514" t="s">
        <v>139</v>
      </c>
      <c r="I514">
        <v>3</v>
      </c>
      <c r="J514" t="s">
        <v>72</v>
      </c>
      <c r="K514" s="5" t="s">
        <v>38</v>
      </c>
      <c r="L514" s="5" t="s">
        <v>39</v>
      </c>
      <c r="M514" s="5" t="s">
        <v>57</v>
      </c>
      <c r="N514" s="5" t="s">
        <v>58</v>
      </c>
      <c r="O514" s="5" t="s">
        <v>42</v>
      </c>
      <c r="P514" s="5" t="s">
        <v>15</v>
      </c>
      <c r="Q514" s="5" t="s">
        <v>17</v>
      </c>
      <c r="R514" s="5" t="s">
        <v>43</v>
      </c>
      <c r="S514" s="5" t="s">
        <v>21</v>
      </c>
      <c r="T514" s="6" t="s">
        <v>84</v>
      </c>
      <c r="U514" s="6">
        <v>1</v>
      </c>
      <c r="V514" s="6" t="s">
        <v>26</v>
      </c>
      <c r="W514" s="6">
        <v>1</v>
      </c>
      <c r="X514" s="6" t="s">
        <v>44</v>
      </c>
      <c r="Y514">
        <v>2</v>
      </c>
      <c r="Z514" s="5" t="s">
        <v>44</v>
      </c>
      <c r="AA514" s="5" t="s">
        <v>46</v>
      </c>
      <c r="AB514" s="5" t="s">
        <v>46</v>
      </c>
    </row>
    <row r="515" spans="1:28" x14ac:dyDescent="0.35">
      <c r="A515" s="8" t="s">
        <v>901</v>
      </c>
      <c r="B515" s="5" t="s">
        <v>580</v>
      </c>
      <c r="C515">
        <v>1948</v>
      </c>
      <c r="D515">
        <f t="shared" ca="1" si="16"/>
        <v>77</v>
      </c>
      <c r="E515" s="5" t="s">
        <v>6</v>
      </c>
      <c r="F515" t="s">
        <v>29</v>
      </c>
      <c r="G515" s="4" t="str">
        <f t="shared" si="17"/>
        <v>&lt;500.000</v>
      </c>
      <c r="H515" t="s">
        <v>63</v>
      </c>
      <c r="I515">
        <v>0</v>
      </c>
      <c r="J515" t="s">
        <v>72</v>
      </c>
      <c r="K515" s="5" t="s">
        <v>38</v>
      </c>
      <c r="L515" s="5" t="s">
        <v>11</v>
      </c>
      <c r="M515" s="5" t="s">
        <v>57</v>
      </c>
      <c r="N515" s="5" t="s">
        <v>58</v>
      </c>
      <c r="O515" s="5" t="s">
        <v>89</v>
      </c>
      <c r="P515" s="5" t="s">
        <v>15</v>
      </c>
      <c r="Q515" s="5" t="s">
        <v>17</v>
      </c>
      <c r="R515" s="5" t="s">
        <v>43</v>
      </c>
      <c r="S515" s="5" t="s">
        <v>21</v>
      </c>
      <c r="T515" s="6" t="s">
        <v>73</v>
      </c>
      <c r="U515" s="6">
        <v>0</v>
      </c>
      <c r="V515" s="6" t="s">
        <v>73</v>
      </c>
      <c r="W515" s="6">
        <v>0</v>
      </c>
      <c r="X515" s="6" t="s">
        <v>46</v>
      </c>
      <c r="Y515">
        <v>0</v>
      </c>
      <c r="Z515" s="5" t="s">
        <v>46</v>
      </c>
      <c r="AA515" s="5" t="s">
        <v>44</v>
      </c>
      <c r="AB515" s="5" t="s">
        <v>46</v>
      </c>
    </row>
    <row r="516" spans="1:28" x14ac:dyDescent="0.35">
      <c r="A516" s="8" t="s">
        <v>902</v>
      </c>
      <c r="B516" s="5" t="s">
        <v>581</v>
      </c>
      <c r="C516">
        <v>1957</v>
      </c>
      <c r="D516">
        <f t="shared" ca="1" si="16"/>
        <v>68</v>
      </c>
      <c r="E516" s="5" t="s">
        <v>6</v>
      </c>
      <c r="F516" t="s">
        <v>29</v>
      </c>
      <c r="G516" s="4" t="str">
        <f t="shared" si="17"/>
        <v>&lt;500.000</v>
      </c>
      <c r="H516" t="s">
        <v>30</v>
      </c>
      <c r="I516">
        <v>3</v>
      </c>
      <c r="J516" t="s">
        <v>72</v>
      </c>
      <c r="K516" s="5" t="s">
        <v>38</v>
      </c>
      <c r="L516" s="5" t="s">
        <v>11</v>
      </c>
      <c r="M516" s="5" t="s">
        <v>57</v>
      </c>
      <c r="N516" s="5" t="s">
        <v>58</v>
      </c>
      <c r="O516" s="5" t="s">
        <v>42</v>
      </c>
      <c r="P516" s="5" t="s">
        <v>15</v>
      </c>
      <c r="Q516" s="5" t="s">
        <v>17</v>
      </c>
      <c r="R516" s="5" t="s">
        <v>43</v>
      </c>
      <c r="S516" s="5" t="s">
        <v>21</v>
      </c>
      <c r="T516" s="6" t="s">
        <v>23</v>
      </c>
      <c r="U516" s="6">
        <v>1</v>
      </c>
      <c r="V516" s="6" t="s">
        <v>117</v>
      </c>
      <c r="W516" s="6">
        <v>1</v>
      </c>
      <c r="X516" s="6" t="s">
        <v>46</v>
      </c>
      <c r="Y516">
        <v>1</v>
      </c>
      <c r="Z516" s="5" t="s">
        <v>46</v>
      </c>
      <c r="AA516" s="5" t="s">
        <v>64</v>
      </c>
      <c r="AB516" s="5" t="s">
        <v>74</v>
      </c>
    </row>
    <row r="517" spans="1:28" x14ac:dyDescent="0.35">
      <c r="A517" s="8" t="s">
        <v>903</v>
      </c>
      <c r="B517" s="5" t="s">
        <v>582</v>
      </c>
      <c r="C517">
        <v>1962</v>
      </c>
      <c r="D517">
        <f t="shared" ca="1" si="16"/>
        <v>63</v>
      </c>
      <c r="E517" s="5" t="s">
        <v>28</v>
      </c>
      <c r="F517" t="s">
        <v>151</v>
      </c>
      <c r="G517" s="4" t="str">
        <f t="shared" si="17"/>
        <v>500.000–1.000.000</v>
      </c>
      <c r="H517" t="s">
        <v>30</v>
      </c>
      <c r="I517">
        <v>3</v>
      </c>
      <c r="J517" t="s">
        <v>72</v>
      </c>
      <c r="K517" s="5" t="s">
        <v>38</v>
      </c>
      <c r="L517" s="5" t="s">
        <v>11</v>
      </c>
      <c r="M517" s="5" t="s">
        <v>57</v>
      </c>
      <c r="N517" s="5" t="s">
        <v>58</v>
      </c>
      <c r="O517" s="5" t="s">
        <v>42</v>
      </c>
      <c r="P517" s="5" t="s">
        <v>15</v>
      </c>
      <c r="Q517" s="5" t="s">
        <v>17</v>
      </c>
      <c r="R517" s="5" t="s">
        <v>43</v>
      </c>
      <c r="S517" s="5" t="s">
        <v>21</v>
      </c>
      <c r="T517" s="6" t="s">
        <v>23</v>
      </c>
      <c r="U517" s="6">
        <v>1</v>
      </c>
      <c r="V517" s="6" t="s">
        <v>117</v>
      </c>
      <c r="W517" s="6">
        <v>1</v>
      </c>
      <c r="X517" s="6" t="s">
        <v>46</v>
      </c>
      <c r="Y517">
        <v>1</v>
      </c>
      <c r="Z517" s="5" t="s">
        <v>46</v>
      </c>
      <c r="AA517" s="5" t="s">
        <v>64</v>
      </c>
      <c r="AB517" s="5" t="s">
        <v>74</v>
      </c>
    </row>
    <row r="518" spans="1:28" x14ac:dyDescent="0.35">
      <c r="A518" s="8" t="s">
        <v>904</v>
      </c>
      <c r="B518" s="5" t="s">
        <v>583</v>
      </c>
      <c r="C518">
        <v>1952</v>
      </c>
      <c r="D518">
        <f t="shared" ca="1" si="16"/>
        <v>73</v>
      </c>
      <c r="E518" s="5" t="s">
        <v>6</v>
      </c>
      <c r="F518" t="s">
        <v>54</v>
      </c>
      <c r="G518" s="4" t="str">
        <f t="shared" si="17"/>
        <v>1.000.000–2.000.000</v>
      </c>
      <c r="H518" t="s">
        <v>139</v>
      </c>
      <c r="I518">
        <v>0</v>
      </c>
      <c r="J518" t="s">
        <v>8</v>
      </c>
      <c r="K518" s="5" t="s">
        <v>114</v>
      </c>
      <c r="L518" s="5" t="s">
        <v>11</v>
      </c>
      <c r="M518" s="5" t="s">
        <v>57</v>
      </c>
      <c r="N518" s="5" t="s">
        <v>58</v>
      </c>
      <c r="O518" s="5" t="s">
        <v>42</v>
      </c>
      <c r="P518" s="5" t="s">
        <v>15</v>
      </c>
      <c r="Q518" s="5" t="s">
        <v>17</v>
      </c>
      <c r="R518" s="5" t="s">
        <v>43</v>
      </c>
      <c r="S518" s="5" t="s">
        <v>21</v>
      </c>
      <c r="T518" s="6" t="s">
        <v>23</v>
      </c>
      <c r="U518" s="6">
        <v>1</v>
      </c>
      <c r="V518" s="6" t="s">
        <v>76</v>
      </c>
      <c r="W518" s="6">
        <v>1</v>
      </c>
      <c r="X518" s="6" t="s">
        <v>46</v>
      </c>
      <c r="Y518">
        <v>0</v>
      </c>
      <c r="Z518" s="5" t="s">
        <v>46</v>
      </c>
      <c r="AA518" s="5" t="s">
        <v>44</v>
      </c>
      <c r="AB518" s="5" t="s">
        <v>74</v>
      </c>
    </row>
    <row r="519" spans="1:28" x14ac:dyDescent="0.35">
      <c r="A519" s="8" t="s">
        <v>905</v>
      </c>
      <c r="B519" s="5" t="s">
        <v>584</v>
      </c>
      <c r="C519">
        <v>1992</v>
      </c>
      <c r="D519">
        <f t="shared" ca="1" si="16"/>
        <v>33</v>
      </c>
      <c r="E519" s="5" t="s">
        <v>6</v>
      </c>
      <c r="F519" t="s">
        <v>54</v>
      </c>
      <c r="G519" s="4" t="str">
        <f t="shared" si="17"/>
        <v>500.000–1.000.000</v>
      </c>
      <c r="H519" t="s">
        <v>7</v>
      </c>
      <c r="I519">
        <v>0</v>
      </c>
      <c r="J519" t="s">
        <v>72</v>
      </c>
      <c r="K519" s="5" t="s">
        <v>38</v>
      </c>
      <c r="L519" s="5" t="s">
        <v>49</v>
      </c>
      <c r="M519" s="5" t="s">
        <v>57</v>
      </c>
      <c r="N519" s="5" t="s">
        <v>58</v>
      </c>
      <c r="O519" s="5" t="s">
        <v>42</v>
      </c>
      <c r="P519" s="5" t="s">
        <v>15</v>
      </c>
      <c r="Q519" s="5" t="s">
        <v>17</v>
      </c>
      <c r="R519" s="5" t="s">
        <v>43</v>
      </c>
      <c r="S519" s="5" t="s">
        <v>21</v>
      </c>
      <c r="T519" s="6" t="s">
        <v>23</v>
      </c>
      <c r="U519" s="6">
        <v>1</v>
      </c>
      <c r="V519" s="6" t="s">
        <v>26</v>
      </c>
      <c r="W519" s="6">
        <v>1</v>
      </c>
      <c r="X519" s="6" t="s">
        <v>46</v>
      </c>
      <c r="Y519">
        <v>0</v>
      </c>
      <c r="Z519" s="5" t="s">
        <v>46</v>
      </c>
      <c r="AA519" s="5" t="s">
        <v>46</v>
      </c>
      <c r="AB519" s="5" t="s">
        <v>46</v>
      </c>
    </row>
    <row r="520" spans="1:28" x14ac:dyDescent="0.35">
      <c r="A520" s="8" t="s">
        <v>906</v>
      </c>
      <c r="B520" s="5" t="s">
        <v>585</v>
      </c>
      <c r="C520">
        <v>1998</v>
      </c>
      <c r="D520">
        <f t="shared" ca="1" si="16"/>
        <v>27</v>
      </c>
      <c r="E520" s="5" t="s">
        <v>28</v>
      </c>
      <c r="F520" t="s">
        <v>137</v>
      </c>
      <c r="G520" s="4" t="str">
        <f t="shared" si="17"/>
        <v>500.000–1.000.000</v>
      </c>
      <c r="H520" t="s">
        <v>7</v>
      </c>
      <c r="I520">
        <v>0</v>
      </c>
      <c r="J520" t="s">
        <v>72</v>
      </c>
      <c r="K520" s="5" t="s">
        <v>38</v>
      </c>
      <c r="L520" s="5" t="s">
        <v>49</v>
      </c>
      <c r="M520" s="5" t="s">
        <v>57</v>
      </c>
      <c r="N520" s="5" t="s">
        <v>58</v>
      </c>
      <c r="O520" s="5" t="s">
        <v>42</v>
      </c>
      <c r="P520" s="5" t="s">
        <v>15</v>
      </c>
      <c r="Q520" s="5" t="s">
        <v>17</v>
      </c>
      <c r="R520" s="5" t="s">
        <v>43</v>
      </c>
      <c r="S520" s="5" t="s">
        <v>21</v>
      </c>
      <c r="T520" s="6" t="s">
        <v>23</v>
      </c>
      <c r="U520" s="6">
        <v>1</v>
      </c>
      <c r="V520" s="6" t="s">
        <v>26</v>
      </c>
      <c r="W520" s="6">
        <v>1</v>
      </c>
      <c r="X520" s="6" t="s">
        <v>46</v>
      </c>
      <c r="Y520">
        <v>0</v>
      </c>
      <c r="Z520" s="5" t="s">
        <v>46</v>
      </c>
      <c r="AA520" s="5" t="s">
        <v>46</v>
      </c>
      <c r="AB520" s="5" t="s">
        <v>46</v>
      </c>
    </row>
    <row r="521" spans="1:28" x14ac:dyDescent="0.35">
      <c r="A521" s="8" t="s">
        <v>907</v>
      </c>
      <c r="B521" s="5" t="s">
        <v>586</v>
      </c>
      <c r="C521">
        <v>1950</v>
      </c>
      <c r="D521">
        <f t="shared" ca="1" si="16"/>
        <v>75</v>
      </c>
      <c r="E521" s="5" t="s">
        <v>6</v>
      </c>
      <c r="F521" t="s">
        <v>29</v>
      </c>
      <c r="G521" s="4" t="str">
        <f t="shared" si="17"/>
        <v>&lt;500.000</v>
      </c>
      <c r="H521" t="s">
        <v>30</v>
      </c>
      <c r="I521">
        <v>0</v>
      </c>
      <c r="J521" t="s">
        <v>8</v>
      </c>
      <c r="K521" s="5" t="s">
        <v>114</v>
      </c>
      <c r="L521" s="5" t="s">
        <v>11</v>
      </c>
      <c r="M521" s="5" t="s">
        <v>57</v>
      </c>
      <c r="N521" s="5" t="s">
        <v>58</v>
      </c>
      <c r="O521" s="5" t="s">
        <v>42</v>
      </c>
      <c r="P521" s="5" t="s">
        <v>15</v>
      </c>
      <c r="Q521" s="5" t="s">
        <v>17</v>
      </c>
      <c r="R521" s="5" t="s">
        <v>43</v>
      </c>
      <c r="S521" s="5" t="s">
        <v>21</v>
      </c>
      <c r="T521" s="6" t="s">
        <v>73</v>
      </c>
      <c r="U521" s="6">
        <v>0</v>
      </c>
      <c r="V521" s="6" t="s">
        <v>73</v>
      </c>
      <c r="W521" s="6">
        <v>0</v>
      </c>
      <c r="X521" s="6" t="s">
        <v>46</v>
      </c>
      <c r="Y521">
        <v>0</v>
      </c>
      <c r="Z521" s="5" t="s">
        <v>46</v>
      </c>
      <c r="AA521" s="5" t="s">
        <v>44</v>
      </c>
      <c r="AB521" s="5" t="s">
        <v>35</v>
      </c>
    </row>
    <row r="522" spans="1:28" x14ac:dyDescent="0.35">
      <c r="A522" s="8" t="s">
        <v>908</v>
      </c>
      <c r="B522" s="5" t="s">
        <v>587</v>
      </c>
      <c r="C522">
        <v>1994</v>
      </c>
      <c r="D522">
        <f t="shared" ca="1" si="16"/>
        <v>31</v>
      </c>
      <c r="E522" s="5" t="s">
        <v>6</v>
      </c>
      <c r="F522" t="s">
        <v>54</v>
      </c>
      <c r="G522" s="4" t="str">
        <f t="shared" si="17"/>
        <v>1.000.000–2.000.000</v>
      </c>
      <c r="H522" t="s">
        <v>139</v>
      </c>
      <c r="I522">
        <v>1</v>
      </c>
      <c r="J522" t="s">
        <v>48</v>
      </c>
      <c r="K522" s="5" t="s">
        <v>114</v>
      </c>
      <c r="L522" s="5" t="s">
        <v>11</v>
      </c>
      <c r="M522" s="5" t="s">
        <v>57</v>
      </c>
      <c r="N522" s="5" t="s">
        <v>58</v>
      </c>
      <c r="O522" s="5" t="s">
        <v>42</v>
      </c>
      <c r="P522" s="5" t="s">
        <v>15</v>
      </c>
      <c r="Q522" s="5" t="s">
        <v>17</v>
      </c>
      <c r="R522" s="5" t="s">
        <v>43</v>
      </c>
      <c r="S522" s="5" t="s">
        <v>21</v>
      </c>
      <c r="T522" s="6" t="s">
        <v>23</v>
      </c>
      <c r="U522" s="6">
        <v>1</v>
      </c>
      <c r="V522" s="6" t="s">
        <v>76</v>
      </c>
      <c r="W522" s="6">
        <v>1</v>
      </c>
      <c r="X522" s="6" t="s">
        <v>46</v>
      </c>
      <c r="Y522">
        <v>0</v>
      </c>
      <c r="Z522" s="5" t="s">
        <v>44</v>
      </c>
      <c r="AA522" s="5" t="s">
        <v>46</v>
      </c>
      <c r="AB522" s="5" t="s">
        <v>46</v>
      </c>
    </row>
    <row r="523" spans="1:28" x14ac:dyDescent="0.35">
      <c r="A523" s="8" t="s">
        <v>909</v>
      </c>
      <c r="B523" s="5" t="s">
        <v>588</v>
      </c>
      <c r="C523">
        <v>1997</v>
      </c>
      <c r="D523">
        <f t="shared" ca="1" si="16"/>
        <v>28</v>
      </c>
      <c r="E523" s="5" t="s">
        <v>28</v>
      </c>
      <c r="F523" t="s">
        <v>54</v>
      </c>
      <c r="G523" s="4" t="str">
        <f t="shared" si="17"/>
        <v>1.000.000–2.000.000</v>
      </c>
      <c r="H523" t="s">
        <v>139</v>
      </c>
      <c r="I523">
        <v>1</v>
      </c>
      <c r="J523" t="s">
        <v>48</v>
      </c>
      <c r="K523" s="5" t="s">
        <v>114</v>
      </c>
      <c r="L523" s="5" t="s">
        <v>11</v>
      </c>
      <c r="M523" s="5" t="s">
        <v>57</v>
      </c>
      <c r="N523" s="5" t="s">
        <v>58</v>
      </c>
      <c r="O523" s="5" t="s">
        <v>42</v>
      </c>
      <c r="P523" s="5" t="s">
        <v>15</v>
      </c>
      <c r="Q523" s="5" t="s">
        <v>17</v>
      </c>
      <c r="R523" s="5" t="s">
        <v>43</v>
      </c>
      <c r="S523" s="5" t="s">
        <v>21</v>
      </c>
      <c r="T523" s="6" t="s">
        <v>23</v>
      </c>
      <c r="U523" s="6">
        <v>1</v>
      </c>
      <c r="V523" s="6" t="s">
        <v>76</v>
      </c>
      <c r="W523" s="6">
        <v>1</v>
      </c>
      <c r="X523" s="6" t="s">
        <v>46</v>
      </c>
      <c r="Y523">
        <v>0</v>
      </c>
      <c r="Z523" s="5" t="s">
        <v>44</v>
      </c>
      <c r="AA523" s="5" t="s">
        <v>46</v>
      </c>
      <c r="AB523" s="5" t="s">
        <v>46</v>
      </c>
    </row>
    <row r="524" spans="1:28" x14ac:dyDescent="0.35">
      <c r="A524" s="8" t="s">
        <v>910</v>
      </c>
      <c r="B524" s="5" t="s">
        <v>589</v>
      </c>
      <c r="C524">
        <v>1984</v>
      </c>
      <c r="D524">
        <f t="shared" ca="1" si="16"/>
        <v>41</v>
      </c>
      <c r="E524" s="5" t="s">
        <v>6</v>
      </c>
      <c r="F524" t="s">
        <v>151</v>
      </c>
      <c r="G524" s="4" t="str">
        <f t="shared" si="17"/>
        <v>500.000–1.000.000</v>
      </c>
      <c r="H524" t="s">
        <v>30</v>
      </c>
      <c r="I524">
        <v>3</v>
      </c>
      <c r="J524" t="s">
        <v>8</v>
      </c>
      <c r="K524" s="5" t="s">
        <v>38</v>
      </c>
      <c r="L524" s="5" t="s">
        <v>11</v>
      </c>
      <c r="M524" s="5" t="s">
        <v>57</v>
      </c>
      <c r="N524" s="5" t="s">
        <v>58</v>
      </c>
      <c r="O524" s="5" t="s">
        <v>42</v>
      </c>
      <c r="P524" s="5" t="s">
        <v>15</v>
      </c>
      <c r="Q524" s="5" t="s">
        <v>17</v>
      </c>
      <c r="R524" s="5" t="s">
        <v>43</v>
      </c>
      <c r="S524" s="5" t="s">
        <v>21</v>
      </c>
      <c r="T524" s="6" t="s">
        <v>84</v>
      </c>
      <c r="U524" s="6">
        <v>1</v>
      </c>
      <c r="V524" s="6" t="s">
        <v>26</v>
      </c>
      <c r="W524" s="6">
        <v>1</v>
      </c>
      <c r="X524" s="6" t="s">
        <v>46</v>
      </c>
      <c r="Y524">
        <v>3</v>
      </c>
      <c r="Z524" s="5" t="s">
        <v>46</v>
      </c>
      <c r="AA524" s="5" t="s">
        <v>46</v>
      </c>
      <c r="AB524" s="5" t="s">
        <v>46</v>
      </c>
    </row>
    <row r="525" spans="1:28" x14ac:dyDescent="0.35">
      <c r="A525" s="8" t="s">
        <v>911</v>
      </c>
      <c r="B525" s="5" t="s">
        <v>590</v>
      </c>
      <c r="C525">
        <v>1983</v>
      </c>
      <c r="D525">
        <f t="shared" ca="1" si="16"/>
        <v>42</v>
      </c>
      <c r="E525" s="5" t="s">
        <v>28</v>
      </c>
      <c r="F525" t="s">
        <v>29</v>
      </c>
      <c r="G525" s="4" t="str">
        <f t="shared" si="17"/>
        <v>500.000–1.000.000</v>
      </c>
      <c r="H525" t="s">
        <v>7</v>
      </c>
      <c r="I525">
        <v>3</v>
      </c>
      <c r="J525" t="s">
        <v>8</v>
      </c>
      <c r="K525" s="5" t="s">
        <v>38</v>
      </c>
      <c r="L525" s="5" t="s">
        <v>11</v>
      </c>
      <c r="M525" s="5" t="s">
        <v>57</v>
      </c>
      <c r="N525" s="5" t="s">
        <v>58</v>
      </c>
      <c r="O525" s="5" t="s">
        <v>42</v>
      </c>
      <c r="P525" s="5" t="s">
        <v>15</v>
      </c>
      <c r="Q525" s="5" t="s">
        <v>17</v>
      </c>
      <c r="R525" s="5" t="s">
        <v>43</v>
      </c>
      <c r="S525" s="5" t="s">
        <v>21</v>
      </c>
      <c r="T525" s="6" t="s">
        <v>84</v>
      </c>
      <c r="U525" s="6">
        <v>1</v>
      </c>
      <c r="V525" s="6" t="s">
        <v>26</v>
      </c>
      <c r="W525" s="6">
        <v>1</v>
      </c>
      <c r="X525" s="6" t="s">
        <v>46</v>
      </c>
      <c r="Y525">
        <v>3</v>
      </c>
      <c r="Z525" s="5" t="s">
        <v>46</v>
      </c>
      <c r="AA525" s="5" t="s">
        <v>46</v>
      </c>
      <c r="AB525" s="5" t="s">
        <v>46</v>
      </c>
    </row>
    <row r="526" spans="1:28" x14ac:dyDescent="0.35">
      <c r="A526" s="8" t="s">
        <v>912</v>
      </c>
      <c r="B526" s="5" t="s">
        <v>591</v>
      </c>
      <c r="C526">
        <v>1996</v>
      </c>
      <c r="D526">
        <f t="shared" ca="1" si="16"/>
        <v>29</v>
      </c>
      <c r="E526" s="5" t="s">
        <v>6</v>
      </c>
      <c r="F526" t="s">
        <v>162</v>
      </c>
      <c r="G526" s="4" t="str">
        <f t="shared" si="17"/>
        <v>1.000.000–2.000.000</v>
      </c>
      <c r="H526" t="s">
        <v>139</v>
      </c>
      <c r="I526">
        <v>1</v>
      </c>
      <c r="J526" t="s">
        <v>48</v>
      </c>
      <c r="K526" s="5" t="s">
        <v>38</v>
      </c>
      <c r="L526" s="5" t="s">
        <v>11</v>
      </c>
      <c r="M526" s="5" t="s">
        <v>57</v>
      </c>
      <c r="N526" s="5" t="s">
        <v>58</v>
      </c>
      <c r="O526" s="5" t="s">
        <v>42</v>
      </c>
      <c r="P526" s="5" t="s">
        <v>15</v>
      </c>
      <c r="Q526" s="5" t="s">
        <v>17</v>
      </c>
      <c r="R526" s="5" t="s">
        <v>43</v>
      </c>
      <c r="S526" s="5" t="s">
        <v>21</v>
      </c>
      <c r="T526" s="6" t="s">
        <v>23</v>
      </c>
      <c r="U526" s="6">
        <v>1</v>
      </c>
      <c r="V526" s="6" t="s">
        <v>26</v>
      </c>
      <c r="W526" s="6">
        <v>1</v>
      </c>
      <c r="X526" s="6" t="s">
        <v>46</v>
      </c>
      <c r="Y526">
        <v>0</v>
      </c>
      <c r="Z526" s="5" t="s">
        <v>44</v>
      </c>
      <c r="AA526" s="5" t="s">
        <v>46</v>
      </c>
      <c r="AB526" s="5" t="s">
        <v>46</v>
      </c>
    </row>
    <row r="527" spans="1:28" x14ac:dyDescent="0.35">
      <c r="A527" s="8" t="s">
        <v>913</v>
      </c>
      <c r="B527" s="5" t="s">
        <v>592</v>
      </c>
      <c r="C527">
        <v>1998</v>
      </c>
      <c r="D527">
        <f t="shared" ca="1" si="16"/>
        <v>27</v>
      </c>
      <c r="E527" s="5" t="s">
        <v>28</v>
      </c>
      <c r="F527" t="s">
        <v>29</v>
      </c>
      <c r="G527" s="4" t="str">
        <f t="shared" si="17"/>
        <v>500.000–1.000.000</v>
      </c>
      <c r="H527" t="s">
        <v>139</v>
      </c>
      <c r="I527">
        <v>1</v>
      </c>
      <c r="J527" t="s">
        <v>48</v>
      </c>
      <c r="K527" s="5" t="s">
        <v>38</v>
      </c>
      <c r="L527" s="5" t="s">
        <v>11</v>
      </c>
      <c r="M527" s="5" t="s">
        <v>57</v>
      </c>
      <c r="N527" s="5" t="s">
        <v>58</v>
      </c>
      <c r="O527" s="5" t="s">
        <v>42</v>
      </c>
      <c r="P527" s="5" t="s">
        <v>15</v>
      </c>
      <c r="Q527" s="5" t="s">
        <v>17</v>
      </c>
      <c r="R527" s="5" t="s">
        <v>43</v>
      </c>
      <c r="S527" s="5" t="s">
        <v>21</v>
      </c>
      <c r="T527" s="6" t="s">
        <v>23</v>
      </c>
      <c r="U527" s="6">
        <v>1</v>
      </c>
      <c r="V527" s="6" t="s">
        <v>26</v>
      </c>
      <c r="W527" s="6">
        <v>1</v>
      </c>
      <c r="X527" s="6" t="s">
        <v>46</v>
      </c>
      <c r="Y527">
        <v>0</v>
      </c>
      <c r="Z527" s="5" t="s">
        <v>44</v>
      </c>
      <c r="AA527" s="5" t="s">
        <v>46</v>
      </c>
      <c r="AB527" s="5" t="s">
        <v>46</v>
      </c>
    </row>
    <row r="528" spans="1:28" x14ac:dyDescent="0.35">
      <c r="A528" s="8" t="s">
        <v>914</v>
      </c>
      <c r="B528" s="5" t="s">
        <v>593</v>
      </c>
      <c r="C528">
        <v>2005</v>
      </c>
      <c r="D528">
        <f t="shared" ca="1" si="16"/>
        <v>20</v>
      </c>
      <c r="E528" s="5" t="s">
        <v>6</v>
      </c>
      <c r="F528" t="s">
        <v>29</v>
      </c>
      <c r="G528" s="4" t="str">
        <f t="shared" si="17"/>
        <v>500.000–1.000.000</v>
      </c>
      <c r="H528" t="s">
        <v>7</v>
      </c>
      <c r="I528">
        <v>0</v>
      </c>
      <c r="J528" t="s">
        <v>72</v>
      </c>
      <c r="K528" s="5" t="s">
        <v>38</v>
      </c>
      <c r="L528" s="5" t="s">
        <v>11</v>
      </c>
      <c r="M528" s="5" t="s">
        <v>57</v>
      </c>
      <c r="N528" s="5" t="s">
        <v>58</v>
      </c>
      <c r="O528" s="5" t="s">
        <v>42</v>
      </c>
      <c r="P528" s="5" t="s">
        <v>15</v>
      </c>
      <c r="Q528" s="5" t="s">
        <v>17</v>
      </c>
      <c r="R528" s="5" t="s">
        <v>43</v>
      </c>
      <c r="S528" s="5" t="s">
        <v>21</v>
      </c>
      <c r="T528" s="6" t="s">
        <v>23</v>
      </c>
      <c r="U528" s="6">
        <v>1</v>
      </c>
      <c r="V528" s="6" t="s">
        <v>26</v>
      </c>
      <c r="W528" s="6">
        <v>1</v>
      </c>
      <c r="X528" s="6" t="s">
        <v>46</v>
      </c>
      <c r="Y528">
        <v>0</v>
      </c>
      <c r="Z528" s="5" t="s">
        <v>46</v>
      </c>
      <c r="AA528" s="5" t="s">
        <v>46</v>
      </c>
      <c r="AB528" s="5" t="s">
        <v>46</v>
      </c>
    </row>
    <row r="529" spans="1:28" x14ac:dyDescent="0.35">
      <c r="A529" s="8" t="s">
        <v>915</v>
      </c>
      <c r="B529" s="5" t="s">
        <v>594</v>
      </c>
      <c r="C529">
        <v>1959</v>
      </c>
      <c r="D529">
        <f t="shared" ca="1" si="16"/>
        <v>66</v>
      </c>
      <c r="E529" s="5" t="s">
        <v>6</v>
      </c>
      <c r="F529" t="s">
        <v>29</v>
      </c>
      <c r="G529" s="4" t="str">
        <f t="shared" si="17"/>
        <v>500.000–1.000.000</v>
      </c>
      <c r="H529" t="s">
        <v>7</v>
      </c>
      <c r="I529">
        <v>1</v>
      </c>
      <c r="J529" t="s">
        <v>8</v>
      </c>
      <c r="K529" s="5" t="s">
        <v>114</v>
      </c>
      <c r="L529" s="5" t="s">
        <v>11</v>
      </c>
      <c r="M529" s="5" t="s">
        <v>57</v>
      </c>
      <c r="N529" s="5" t="s">
        <v>58</v>
      </c>
      <c r="O529" s="5" t="s">
        <v>42</v>
      </c>
      <c r="P529" s="5" t="s">
        <v>15</v>
      </c>
      <c r="Q529" s="5" t="s">
        <v>17</v>
      </c>
      <c r="R529" s="5" t="s">
        <v>43</v>
      </c>
      <c r="S529" s="5" t="s">
        <v>21</v>
      </c>
      <c r="T529" s="6" t="s">
        <v>73</v>
      </c>
      <c r="U529" s="6">
        <v>0</v>
      </c>
      <c r="V529" s="6" t="s">
        <v>73</v>
      </c>
      <c r="W529" s="6">
        <v>0</v>
      </c>
      <c r="X529" s="6" t="s">
        <v>46</v>
      </c>
      <c r="Y529">
        <v>0</v>
      </c>
      <c r="Z529" s="5" t="s">
        <v>46</v>
      </c>
      <c r="AA529" s="5" t="s">
        <v>64</v>
      </c>
      <c r="AB529" s="5" t="s">
        <v>46</v>
      </c>
    </row>
    <row r="530" spans="1:28" x14ac:dyDescent="0.35">
      <c r="A530" s="8" t="s">
        <v>916</v>
      </c>
      <c r="B530" s="5" t="s">
        <v>595</v>
      </c>
      <c r="C530">
        <v>1963</v>
      </c>
      <c r="D530">
        <f t="shared" ca="1" si="16"/>
        <v>62</v>
      </c>
      <c r="E530" s="5" t="s">
        <v>28</v>
      </c>
      <c r="F530" t="s">
        <v>29</v>
      </c>
      <c r="G530" s="4" t="str">
        <f t="shared" si="17"/>
        <v>&lt;500.000</v>
      </c>
      <c r="H530" t="s">
        <v>30</v>
      </c>
      <c r="I530">
        <v>1</v>
      </c>
      <c r="J530" t="s">
        <v>8</v>
      </c>
      <c r="K530" s="5" t="s">
        <v>114</v>
      </c>
      <c r="L530" s="5" t="s">
        <v>11</v>
      </c>
      <c r="M530" s="5" t="s">
        <v>57</v>
      </c>
      <c r="N530" s="5" t="s">
        <v>58</v>
      </c>
      <c r="O530" s="5" t="s">
        <v>42</v>
      </c>
      <c r="P530" s="5" t="s">
        <v>15</v>
      </c>
      <c r="Q530" s="5" t="s">
        <v>17</v>
      </c>
      <c r="R530" s="5" t="s">
        <v>43</v>
      </c>
      <c r="S530" s="5" t="s">
        <v>21</v>
      </c>
      <c r="T530" s="6" t="s">
        <v>73</v>
      </c>
      <c r="U530" s="6">
        <v>0</v>
      </c>
      <c r="V530" s="6" t="s">
        <v>73</v>
      </c>
      <c r="W530" s="6">
        <v>0</v>
      </c>
      <c r="X530" s="6" t="s">
        <v>46</v>
      </c>
      <c r="Y530">
        <v>0</v>
      </c>
      <c r="Z530" s="5" t="s">
        <v>46</v>
      </c>
      <c r="AA530" s="5" t="s">
        <v>64</v>
      </c>
      <c r="AB530" s="5" t="s">
        <v>46</v>
      </c>
    </row>
    <row r="531" spans="1:28" x14ac:dyDescent="0.35">
      <c r="A531" s="8" t="s">
        <v>917</v>
      </c>
      <c r="B531" s="5" t="s">
        <v>596</v>
      </c>
      <c r="C531">
        <v>1987</v>
      </c>
      <c r="D531">
        <f t="shared" ca="1" si="16"/>
        <v>38</v>
      </c>
      <c r="E531" s="5" t="s">
        <v>6</v>
      </c>
      <c r="F531" t="s">
        <v>54</v>
      </c>
      <c r="G531" s="4" t="str">
        <f t="shared" si="17"/>
        <v>500.000–1.000.000</v>
      </c>
      <c r="H531" t="s">
        <v>7</v>
      </c>
      <c r="I531">
        <v>2</v>
      </c>
      <c r="J531" t="s">
        <v>8</v>
      </c>
      <c r="K531" s="5" t="s">
        <v>10</v>
      </c>
      <c r="L531" s="5" t="s">
        <v>11</v>
      </c>
      <c r="M531" s="5" t="s">
        <v>40</v>
      </c>
      <c r="N531" s="5" t="s">
        <v>37</v>
      </c>
      <c r="O531" s="5" t="s">
        <v>42</v>
      </c>
      <c r="P531" s="5" t="s">
        <v>15</v>
      </c>
      <c r="Q531" s="5" t="s">
        <v>17</v>
      </c>
      <c r="R531" s="5" t="s">
        <v>43</v>
      </c>
      <c r="S531" s="5" t="s">
        <v>21</v>
      </c>
      <c r="T531" s="6" t="s">
        <v>84</v>
      </c>
      <c r="U531" s="6">
        <v>1</v>
      </c>
      <c r="V531" s="6" t="s">
        <v>26</v>
      </c>
      <c r="W531" s="6">
        <v>1</v>
      </c>
      <c r="X531" s="6" t="s">
        <v>60</v>
      </c>
      <c r="Y531">
        <v>2</v>
      </c>
      <c r="Z531" s="5" t="s">
        <v>46</v>
      </c>
      <c r="AA531" s="5" t="s">
        <v>46</v>
      </c>
      <c r="AB531" s="5" t="s">
        <v>46</v>
      </c>
    </row>
    <row r="532" spans="1:28" x14ac:dyDescent="0.35">
      <c r="A532" s="8" t="s">
        <v>918</v>
      </c>
      <c r="B532" s="5" t="s">
        <v>597</v>
      </c>
      <c r="C532">
        <v>1991</v>
      </c>
      <c r="D532">
        <f t="shared" ca="1" si="16"/>
        <v>34</v>
      </c>
      <c r="E532" s="5" t="s">
        <v>28</v>
      </c>
      <c r="F532" t="s">
        <v>137</v>
      </c>
      <c r="G532" s="4" t="str">
        <f t="shared" si="17"/>
        <v>500.000–1.000.000</v>
      </c>
      <c r="H532" t="s">
        <v>7</v>
      </c>
      <c r="I532">
        <v>2</v>
      </c>
      <c r="J532" t="s">
        <v>8</v>
      </c>
      <c r="K532" s="5" t="s">
        <v>10</v>
      </c>
      <c r="L532" s="5" t="s">
        <v>11</v>
      </c>
      <c r="M532" s="5" t="s">
        <v>40</v>
      </c>
      <c r="N532" s="5" t="s">
        <v>37</v>
      </c>
      <c r="O532" s="5" t="s">
        <v>42</v>
      </c>
      <c r="P532" s="5" t="s">
        <v>15</v>
      </c>
      <c r="Q532" s="5" t="s">
        <v>17</v>
      </c>
      <c r="R532" s="5" t="s">
        <v>43</v>
      </c>
      <c r="S532" s="5" t="s">
        <v>21</v>
      </c>
      <c r="T532" s="6" t="s">
        <v>84</v>
      </c>
      <c r="U532" s="6">
        <v>1</v>
      </c>
      <c r="V532" s="6" t="s">
        <v>26</v>
      </c>
      <c r="W532" s="6">
        <v>1</v>
      </c>
      <c r="X532" s="6" t="s">
        <v>60</v>
      </c>
      <c r="Y532">
        <v>2</v>
      </c>
      <c r="Z532" s="5" t="s">
        <v>46</v>
      </c>
      <c r="AA532" s="5" t="s">
        <v>46</v>
      </c>
      <c r="AB532" s="5" t="s">
        <v>46</v>
      </c>
    </row>
    <row r="533" spans="1:28" x14ac:dyDescent="0.35">
      <c r="A533" s="8" t="s">
        <v>919</v>
      </c>
      <c r="B533" s="5" t="s">
        <v>598</v>
      </c>
      <c r="C533">
        <v>1965</v>
      </c>
      <c r="D533">
        <f t="shared" ca="1" si="16"/>
        <v>60</v>
      </c>
      <c r="E533" s="5" t="s">
        <v>6</v>
      </c>
      <c r="F533" t="s">
        <v>55</v>
      </c>
      <c r="G533" s="4" t="str">
        <f t="shared" si="17"/>
        <v>1.000.000–2.000.000</v>
      </c>
      <c r="H533" t="s">
        <v>139</v>
      </c>
      <c r="I533">
        <v>2</v>
      </c>
      <c r="J533" t="s">
        <v>8</v>
      </c>
      <c r="K533" s="5" t="s">
        <v>38</v>
      </c>
      <c r="L533" s="5" t="s">
        <v>49</v>
      </c>
      <c r="M533" s="5" t="s">
        <v>40</v>
      </c>
      <c r="N533" s="5" t="s">
        <v>37</v>
      </c>
      <c r="O533" s="5" t="s">
        <v>42</v>
      </c>
      <c r="P533" s="5" t="s">
        <v>15</v>
      </c>
      <c r="Q533" s="5" t="s">
        <v>17</v>
      </c>
      <c r="R533" s="5" t="s">
        <v>43</v>
      </c>
      <c r="S533" s="5" t="s">
        <v>21</v>
      </c>
      <c r="T533" s="6" t="s">
        <v>599</v>
      </c>
      <c r="U533" s="6">
        <v>1</v>
      </c>
      <c r="V533" s="6" t="s">
        <v>52</v>
      </c>
      <c r="W533" s="6">
        <v>1</v>
      </c>
      <c r="X533" s="6" t="s">
        <v>46</v>
      </c>
      <c r="Y533">
        <v>2</v>
      </c>
      <c r="Z533" s="5" t="s">
        <v>46</v>
      </c>
      <c r="AA533" s="5" t="s">
        <v>46</v>
      </c>
      <c r="AB533" s="5" t="s">
        <v>46</v>
      </c>
    </row>
    <row r="534" spans="1:28" x14ac:dyDescent="0.35">
      <c r="A534" s="8" t="s">
        <v>920</v>
      </c>
      <c r="B534" s="5" t="s">
        <v>600</v>
      </c>
      <c r="C534">
        <v>1984</v>
      </c>
      <c r="D534">
        <f t="shared" ca="1" si="16"/>
        <v>41</v>
      </c>
      <c r="E534" s="5" t="s">
        <v>28</v>
      </c>
      <c r="F534" t="s">
        <v>29</v>
      </c>
      <c r="G534" s="4" t="str">
        <f t="shared" si="17"/>
        <v>500.000–1.000.000</v>
      </c>
      <c r="H534" t="s">
        <v>7</v>
      </c>
      <c r="I534">
        <v>2</v>
      </c>
      <c r="J534" t="s">
        <v>8</v>
      </c>
      <c r="K534" s="5" t="s">
        <v>38</v>
      </c>
      <c r="L534" s="5" t="s">
        <v>49</v>
      </c>
      <c r="M534" s="5" t="s">
        <v>40</v>
      </c>
      <c r="N534" s="5" t="s">
        <v>37</v>
      </c>
      <c r="O534" s="5" t="s">
        <v>42</v>
      </c>
      <c r="P534" s="5" t="s">
        <v>15</v>
      </c>
      <c r="Q534" s="5" t="s">
        <v>17</v>
      </c>
      <c r="R534" s="5" t="s">
        <v>43</v>
      </c>
      <c r="S534" s="5" t="s">
        <v>21</v>
      </c>
      <c r="T534" s="6" t="s">
        <v>599</v>
      </c>
      <c r="U534" s="6">
        <v>1</v>
      </c>
      <c r="V534" s="6" t="s">
        <v>52</v>
      </c>
      <c r="W534" s="6">
        <v>1</v>
      </c>
      <c r="X534" s="6" t="s">
        <v>46</v>
      </c>
      <c r="Y534">
        <v>2</v>
      </c>
      <c r="Z534" s="5" t="s">
        <v>46</v>
      </c>
      <c r="AA534" s="5" t="s">
        <v>46</v>
      </c>
      <c r="AB534" s="5" t="s">
        <v>46</v>
      </c>
    </row>
    <row r="535" spans="1:28" x14ac:dyDescent="0.35">
      <c r="A535" s="8" t="s">
        <v>921</v>
      </c>
      <c r="B535" s="5" t="s">
        <v>601</v>
      </c>
      <c r="C535">
        <v>1980</v>
      </c>
      <c r="D535">
        <f t="shared" ca="1" si="16"/>
        <v>45</v>
      </c>
      <c r="E535" s="5" t="s">
        <v>6</v>
      </c>
      <c r="F535" t="s">
        <v>137</v>
      </c>
      <c r="G535" s="4" t="str">
        <f t="shared" si="17"/>
        <v>500.000–1.000.000</v>
      </c>
      <c r="H535" t="s">
        <v>7</v>
      </c>
      <c r="I535">
        <v>3</v>
      </c>
      <c r="J535" t="s">
        <v>8</v>
      </c>
      <c r="K535" s="5" t="s">
        <v>114</v>
      </c>
      <c r="L535" s="5" t="s">
        <v>11</v>
      </c>
      <c r="M535" s="5" t="s">
        <v>57</v>
      </c>
      <c r="N535" s="5" t="s">
        <v>58</v>
      </c>
      <c r="O535" s="5" t="s">
        <v>42</v>
      </c>
      <c r="P535" s="5" t="s">
        <v>15</v>
      </c>
      <c r="Q535" s="5" t="s">
        <v>17</v>
      </c>
      <c r="R535" s="5" t="s">
        <v>43</v>
      </c>
      <c r="S535" s="5" t="s">
        <v>21</v>
      </c>
      <c r="T535" s="6" t="s">
        <v>23</v>
      </c>
      <c r="U535" s="6">
        <v>1</v>
      </c>
      <c r="V535" s="6" t="s">
        <v>602</v>
      </c>
      <c r="W535" s="6">
        <v>1</v>
      </c>
      <c r="X535" s="6" t="s">
        <v>46</v>
      </c>
      <c r="Y535">
        <v>2</v>
      </c>
      <c r="Z535" s="5" t="s">
        <v>46</v>
      </c>
      <c r="AA535" s="5" t="s">
        <v>46</v>
      </c>
      <c r="AB535" s="5" t="s">
        <v>46</v>
      </c>
    </row>
    <row r="536" spans="1:28" x14ac:dyDescent="0.35">
      <c r="A536" s="8" t="s">
        <v>922</v>
      </c>
      <c r="B536" s="5" t="s">
        <v>603</v>
      </c>
      <c r="C536">
        <v>1983</v>
      </c>
      <c r="D536">
        <f t="shared" ca="1" si="16"/>
        <v>42</v>
      </c>
      <c r="E536" s="5" t="s">
        <v>28</v>
      </c>
      <c r="F536" t="s">
        <v>29</v>
      </c>
      <c r="G536" s="4" t="str">
        <f t="shared" si="17"/>
        <v>500.000–1.000.000</v>
      </c>
      <c r="H536" t="s">
        <v>7</v>
      </c>
      <c r="I536">
        <v>3</v>
      </c>
      <c r="J536" t="s">
        <v>8</v>
      </c>
      <c r="K536" s="5" t="s">
        <v>114</v>
      </c>
      <c r="L536" s="5" t="s">
        <v>11</v>
      </c>
      <c r="M536" s="5" t="s">
        <v>57</v>
      </c>
      <c r="N536" s="5" t="s">
        <v>58</v>
      </c>
      <c r="O536" s="5" t="s">
        <v>42</v>
      </c>
      <c r="P536" s="5" t="s">
        <v>15</v>
      </c>
      <c r="Q536" s="5" t="s">
        <v>17</v>
      </c>
      <c r="R536" s="5" t="s">
        <v>43</v>
      </c>
      <c r="S536" s="5" t="s">
        <v>21</v>
      </c>
      <c r="T536" s="6" t="s">
        <v>23</v>
      </c>
      <c r="U536" s="6">
        <v>1</v>
      </c>
      <c r="V536" s="6" t="s">
        <v>602</v>
      </c>
      <c r="W536" s="6">
        <v>1</v>
      </c>
      <c r="X536" s="6" t="s">
        <v>46</v>
      </c>
      <c r="Y536">
        <v>2</v>
      </c>
      <c r="Z536" s="5" t="s">
        <v>46</v>
      </c>
      <c r="AA536" s="5" t="s">
        <v>46</v>
      </c>
      <c r="AB536" s="5" t="s">
        <v>46</v>
      </c>
    </row>
    <row r="537" spans="1:28" x14ac:dyDescent="0.35">
      <c r="A537" s="8" t="s">
        <v>923</v>
      </c>
      <c r="B537" s="5" t="s">
        <v>604</v>
      </c>
      <c r="C537">
        <v>1982</v>
      </c>
      <c r="D537">
        <f t="shared" ca="1" si="16"/>
        <v>43</v>
      </c>
      <c r="E537" s="5" t="s">
        <v>6</v>
      </c>
      <c r="F537" t="s">
        <v>119</v>
      </c>
      <c r="G537" s="4" t="str">
        <f t="shared" si="17"/>
        <v>&lt;500.000</v>
      </c>
      <c r="H537" t="s">
        <v>30</v>
      </c>
      <c r="I537">
        <v>0</v>
      </c>
      <c r="J537" t="s">
        <v>8</v>
      </c>
      <c r="K537" s="5" t="s">
        <v>38</v>
      </c>
      <c r="L537" s="5" t="s">
        <v>11</v>
      </c>
      <c r="M537" s="5" t="s">
        <v>57</v>
      </c>
      <c r="N537" s="5" t="s">
        <v>58</v>
      </c>
      <c r="O537" s="5" t="s">
        <v>42</v>
      </c>
      <c r="P537" s="5" t="s">
        <v>15</v>
      </c>
      <c r="Q537" s="5" t="s">
        <v>17</v>
      </c>
      <c r="R537" s="5" t="s">
        <v>43</v>
      </c>
      <c r="S537" s="5" t="s">
        <v>21</v>
      </c>
      <c r="T537" s="6" t="s">
        <v>92</v>
      </c>
      <c r="U537" s="6">
        <v>1</v>
      </c>
      <c r="V537" s="6" t="s">
        <v>73</v>
      </c>
      <c r="W537" s="6">
        <v>0</v>
      </c>
      <c r="X537" s="6" t="s">
        <v>46</v>
      </c>
      <c r="Y537">
        <v>0</v>
      </c>
      <c r="Z537" s="5" t="s">
        <v>46</v>
      </c>
      <c r="AA537" s="5" t="s">
        <v>46</v>
      </c>
      <c r="AB537" s="5" t="s">
        <v>46</v>
      </c>
    </row>
    <row r="538" spans="1:28" x14ac:dyDescent="0.35">
      <c r="A538" s="8" t="s">
        <v>924</v>
      </c>
      <c r="B538" s="5" t="s">
        <v>113</v>
      </c>
      <c r="C538">
        <v>1972</v>
      </c>
      <c r="D538">
        <f t="shared" ca="1" si="16"/>
        <v>53</v>
      </c>
      <c r="E538" s="5" t="s">
        <v>6</v>
      </c>
      <c r="F538" t="s">
        <v>137</v>
      </c>
      <c r="G538" s="4" t="str">
        <f t="shared" si="17"/>
        <v>500.000–1.000.000</v>
      </c>
      <c r="H538" t="s">
        <v>7</v>
      </c>
      <c r="I538">
        <v>0</v>
      </c>
      <c r="J538" t="s">
        <v>48</v>
      </c>
      <c r="K538" s="5" t="s">
        <v>38</v>
      </c>
      <c r="L538" s="5" t="s">
        <v>11</v>
      </c>
      <c r="M538" s="5" t="s">
        <v>57</v>
      </c>
      <c r="N538" s="5" t="s">
        <v>58</v>
      </c>
      <c r="O538" s="5" t="s">
        <v>42</v>
      </c>
      <c r="P538" s="5" t="s">
        <v>15</v>
      </c>
      <c r="Q538" s="5" t="s">
        <v>17</v>
      </c>
      <c r="R538" s="5" t="s">
        <v>43</v>
      </c>
      <c r="S538" s="5" t="s">
        <v>21</v>
      </c>
      <c r="T538" s="6" t="s">
        <v>23</v>
      </c>
      <c r="U538" s="6">
        <v>1</v>
      </c>
      <c r="V538" s="6" t="s">
        <v>76</v>
      </c>
      <c r="W538" s="6">
        <v>1</v>
      </c>
      <c r="X538" s="6" t="s">
        <v>46</v>
      </c>
      <c r="Y538">
        <v>0</v>
      </c>
      <c r="Z538" s="5" t="s">
        <v>46</v>
      </c>
      <c r="AA538" s="5" t="s">
        <v>46</v>
      </c>
      <c r="AB538" s="5" t="s">
        <v>46</v>
      </c>
    </row>
    <row r="539" spans="1:28" x14ac:dyDescent="0.35">
      <c r="A539" s="8" t="s">
        <v>925</v>
      </c>
      <c r="B539" s="5" t="s">
        <v>605</v>
      </c>
      <c r="C539">
        <v>1973</v>
      </c>
      <c r="D539">
        <f t="shared" ca="1" si="16"/>
        <v>52</v>
      </c>
      <c r="E539" s="5" t="s">
        <v>6</v>
      </c>
      <c r="F539" t="s">
        <v>54</v>
      </c>
      <c r="G539" s="4" t="str">
        <f t="shared" si="17"/>
        <v>500.000–1.000.000</v>
      </c>
      <c r="H539" t="s">
        <v>7</v>
      </c>
      <c r="I539">
        <v>1</v>
      </c>
      <c r="J539" t="s">
        <v>48</v>
      </c>
      <c r="K539" s="5" t="s">
        <v>114</v>
      </c>
      <c r="L539" s="5" t="s">
        <v>11</v>
      </c>
      <c r="M539" s="5" t="s">
        <v>57</v>
      </c>
      <c r="N539" s="5" t="s">
        <v>58</v>
      </c>
      <c r="O539" s="5" t="s">
        <v>42</v>
      </c>
      <c r="P539" s="5" t="s">
        <v>15</v>
      </c>
      <c r="Q539" s="5" t="s">
        <v>17</v>
      </c>
      <c r="R539" s="5" t="s">
        <v>43</v>
      </c>
      <c r="S539" s="5" t="s">
        <v>21</v>
      </c>
      <c r="T539" s="6" t="s">
        <v>23</v>
      </c>
      <c r="U539" s="6">
        <v>1</v>
      </c>
      <c r="V539" s="6" t="s">
        <v>76</v>
      </c>
      <c r="W539" s="6">
        <v>1</v>
      </c>
      <c r="X539" s="6" t="s">
        <v>46</v>
      </c>
      <c r="Y539">
        <v>0</v>
      </c>
      <c r="Z539" s="5" t="s">
        <v>46</v>
      </c>
      <c r="AA539" s="5" t="s">
        <v>46</v>
      </c>
      <c r="AB539" s="5" t="s">
        <v>46</v>
      </c>
    </row>
    <row r="540" spans="1:28" x14ac:dyDescent="0.35">
      <c r="A540" s="8" t="s">
        <v>926</v>
      </c>
      <c r="B540" s="5" t="s">
        <v>606</v>
      </c>
      <c r="C540">
        <v>1975</v>
      </c>
      <c r="D540">
        <f t="shared" ca="1" si="16"/>
        <v>50</v>
      </c>
      <c r="E540" s="5" t="s">
        <v>28</v>
      </c>
      <c r="F540" t="s">
        <v>29</v>
      </c>
      <c r="G540" s="4" t="str">
        <f t="shared" si="17"/>
        <v>&lt;500.000</v>
      </c>
      <c r="H540" t="s">
        <v>30</v>
      </c>
      <c r="I540">
        <v>1</v>
      </c>
      <c r="J540" t="s">
        <v>48</v>
      </c>
      <c r="K540" s="5" t="s">
        <v>114</v>
      </c>
      <c r="L540" s="5" t="s">
        <v>11</v>
      </c>
      <c r="M540" s="5" t="s">
        <v>57</v>
      </c>
      <c r="N540" s="5" t="s">
        <v>58</v>
      </c>
      <c r="O540" s="5" t="s">
        <v>42</v>
      </c>
      <c r="P540" s="5" t="s">
        <v>15</v>
      </c>
      <c r="Q540" s="5" t="s">
        <v>17</v>
      </c>
      <c r="R540" s="5" t="s">
        <v>43</v>
      </c>
      <c r="S540" s="5" t="s">
        <v>21</v>
      </c>
      <c r="T540" s="6" t="s">
        <v>23</v>
      </c>
      <c r="U540" s="6">
        <v>1</v>
      </c>
      <c r="V540" s="6" t="s">
        <v>76</v>
      </c>
      <c r="W540" s="6">
        <v>1</v>
      </c>
      <c r="X540" s="6" t="s">
        <v>46</v>
      </c>
      <c r="Y540">
        <v>0</v>
      </c>
      <c r="Z540" s="5" t="s">
        <v>46</v>
      </c>
      <c r="AA540" s="5" t="s">
        <v>46</v>
      </c>
      <c r="AB540" s="5" t="s">
        <v>46</v>
      </c>
    </row>
    <row r="541" spans="1:28" x14ac:dyDescent="0.35">
      <c r="A541" s="8" t="s">
        <v>927</v>
      </c>
      <c r="B541" s="5" t="s">
        <v>607</v>
      </c>
      <c r="C541">
        <v>1936</v>
      </c>
      <c r="D541">
        <f t="shared" ca="1" si="16"/>
        <v>89</v>
      </c>
      <c r="E541" s="5" t="s">
        <v>6</v>
      </c>
      <c r="F541" t="s">
        <v>29</v>
      </c>
      <c r="G541" s="4" t="str">
        <f t="shared" si="17"/>
        <v>&lt;500.000</v>
      </c>
      <c r="H541" t="s">
        <v>30</v>
      </c>
      <c r="I541">
        <v>1</v>
      </c>
      <c r="J541" t="s">
        <v>8</v>
      </c>
      <c r="K541" s="5" t="s">
        <v>38</v>
      </c>
      <c r="L541" s="5" t="s">
        <v>11</v>
      </c>
      <c r="M541" s="5" t="s">
        <v>57</v>
      </c>
      <c r="N541" s="5" t="s">
        <v>58</v>
      </c>
      <c r="O541" s="5" t="s">
        <v>42</v>
      </c>
      <c r="P541" s="5" t="s">
        <v>15</v>
      </c>
      <c r="Q541" s="5" t="s">
        <v>17</v>
      </c>
      <c r="R541" s="5" t="s">
        <v>43</v>
      </c>
      <c r="S541" s="5" t="s">
        <v>21</v>
      </c>
      <c r="T541" s="6" t="s">
        <v>73</v>
      </c>
      <c r="U541" s="6">
        <v>0</v>
      </c>
      <c r="V541" s="6" t="s">
        <v>117</v>
      </c>
      <c r="W541" s="6">
        <v>1</v>
      </c>
      <c r="X541" s="6" t="s">
        <v>44</v>
      </c>
      <c r="Y541">
        <v>0</v>
      </c>
      <c r="Z541" s="5" t="s">
        <v>46</v>
      </c>
      <c r="AA541" s="5" t="s">
        <v>64</v>
      </c>
      <c r="AB541" s="5" t="s">
        <v>74</v>
      </c>
    </row>
    <row r="542" spans="1:28" x14ac:dyDescent="0.35">
      <c r="A542" s="8" t="s">
        <v>928</v>
      </c>
      <c r="B542" s="5" t="s">
        <v>608</v>
      </c>
      <c r="C542">
        <v>1942</v>
      </c>
      <c r="D542">
        <f t="shared" ca="1" si="16"/>
        <v>83</v>
      </c>
      <c r="E542" s="5" t="s">
        <v>28</v>
      </c>
      <c r="F542" t="s">
        <v>29</v>
      </c>
      <c r="G542" s="4" t="str">
        <f t="shared" si="17"/>
        <v>&lt;500.000</v>
      </c>
      <c r="H542" t="s">
        <v>30</v>
      </c>
      <c r="I542">
        <v>1</v>
      </c>
      <c r="J542" t="s">
        <v>8</v>
      </c>
      <c r="K542" s="5" t="s">
        <v>38</v>
      </c>
      <c r="L542" s="5" t="s">
        <v>11</v>
      </c>
      <c r="M542" s="5" t="s">
        <v>57</v>
      </c>
      <c r="N542" s="5" t="s">
        <v>58</v>
      </c>
      <c r="O542" s="5" t="s">
        <v>42</v>
      </c>
      <c r="P542" s="5" t="s">
        <v>15</v>
      </c>
      <c r="Q542" s="5" t="s">
        <v>17</v>
      </c>
      <c r="R542" s="5" t="s">
        <v>43</v>
      </c>
      <c r="S542" s="5" t="s">
        <v>21</v>
      </c>
      <c r="T542" s="6" t="s">
        <v>73</v>
      </c>
      <c r="U542" s="6">
        <v>0</v>
      </c>
      <c r="V542" s="6" t="s">
        <v>117</v>
      </c>
      <c r="W542" s="6">
        <v>1</v>
      </c>
      <c r="X542" s="6" t="s">
        <v>44</v>
      </c>
      <c r="Y542">
        <v>0</v>
      </c>
      <c r="Z542" s="5" t="s">
        <v>46</v>
      </c>
      <c r="AA542" s="5" t="s">
        <v>64</v>
      </c>
      <c r="AB542" s="5" t="s">
        <v>74</v>
      </c>
    </row>
    <row r="543" spans="1:28" x14ac:dyDescent="0.35">
      <c r="A543" s="8" t="s">
        <v>929</v>
      </c>
      <c r="B543" s="5" t="s">
        <v>609</v>
      </c>
      <c r="C543">
        <v>1952</v>
      </c>
      <c r="D543">
        <f t="shared" ca="1" si="16"/>
        <v>73</v>
      </c>
      <c r="E543" s="5" t="s">
        <v>6</v>
      </c>
      <c r="F543" t="s">
        <v>29</v>
      </c>
      <c r="G543" s="4" t="str">
        <f t="shared" si="17"/>
        <v>&lt;500.000</v>
      </c>
      <c r="H543" t="s">
        <v>30</v>
      </c>
      <c r="I543">
        <v>1</v>
      </c>
      <c r="J543" t="s">
        <v>8</v>
      </c>
      <c r="K543" s="5" t="s">
        <v>10</v>
      </c>
      <c r="L543" s="5" t="s">
        <v>11</v>
      </c>
      <c r="M543" s="5" t="s">
        <v>40</v>
      </c>
      <c r="N543" s="5" t="s">
        <v>37</v>
      </c>
      <c r="O543" s="5" t="s">
        <v>42</v>
      </c>
      <c r="P543" s="5" t="s">
        <v>15</v>
      </c>
      <c r="Q543" s="5" t="s">
        <v>17</v>
      </c>
      <c r="R543" s="5" t="s">
        <v>87</v>
      </c>
      <c r="S543" s="5" t="s">
        <v>21</v>
      </c>
      <c r="T543" s="6" t="s">
        <v>73</v>
      </c>
      <c r="U543" s="6">
        <v>0</v>
      </c>
      <c r="V543" s="6" t="s">
        <v>73</v>
      </c>
      <c r="W543" s="6">
        <v>0</v>
      </c>
      <c r="X543" s="6" t="s">
        <v>60</v>
      </c>
      <c r="Y543">
        <v>0</v>
      </c>
      <c r="Z543" s="5" t="s">
        <v>46</v>
      </c>
      <c r="AA543" s="5" t="s">
        <v>46</v>
      </c>
      <c r="AB543" s="5" t="s">
        <v>46</v>
      </c>
    </row>
    <row r="544" spans="1:28" x14ac:dyDescent="0.35">
      <c r="A544" s="8" t="s">
        <v>930</v>
      </c>
      <c r="B544" s="5" t="s">
        <v>610</v>
      </c>
      <c r="C544">
        <v>1984</v>
      </c>
      <c r="D544">
        <f t="shared" ca="1" si="16"/>
        <v>41</v>
      </c>
      <c r="E544" s="5" t="s">
        <v>6</v>
      </c>
      <c r="F544" t="s">
        <v>187</v>
      </c>
      <c r="G544" s="4" t="str">
        <f t="shared" si="17"/>
        <v>2.000.000–3.000.000</v>
      </c>
      <c r="H544" t="s">
        <v>7</v>
      </c>
      <c r="I544">
        <v>2</v>
      </c>
      <c r="J544" t="s">
        <v>8</v>
      </c>
      <c r="K544" s="5" t="s">
        <v>114</v>
      </c>
      <c r="L544" s="5" t="s">
        <v>11</v>
      </c>
      <c r="M544" s="5" t="s">
        <v>57</v>
      </c>
      <c r="N544" s="5" t="s">
        <v>58</v>
      </c>
      <c r="O544" s="5" t="s">
        <v>42</v>
      </c>
      <c r="P544" s="5" t="s">
        <v>15</v>
      </c>
      <c r="Q544" s="5" t="s">
        <v>17</v>
      </c>
      <c r="R544" s="5" t="s">
        <v>43</v>
      </c>
      <c r="S544" s="5" t="s">
        <v>21</v>
      </c>
      <c r="T544" s="6" t="s">
        <v>84</v>
      </c>
      <c r="U544" s="6">
        <v>1</v>
      </c>
      <c r="V544" s="6" t="s">
        <v>26</v>
      </c>
      <c r="W544" s="6">
        <v>1</v>
      </c>
      <c r="X544" s="6" t="s">
        <v>46</v>
      </c>
      <c r="Y544">
        <v>1</v>
      </c>
      <c r="Z544" s="5" t="s">
        <v>46</v>
      </c>
      <c r="AA544" s="5" t="s">
        <v>46</v>
      </c>
      <c r="AB544" s="5" t="s">
        <v>46</v>
      </c>
    </row>
    <row r="545" spans="1:28" x14ac:dyDescent="0.35">
      <c r="A545" s="8" t="s">
        <v>931</v>
      </c>
      <c r="B545" s="5" t="s">
        <v>611</v>
      </c>
      <c r="C545">
        <v>1984</v>
      </c>
      <c r="D545">
        <f t="shared" ca="1" si="16"/>
        <v>41</v>
      </c>
      <c r="E545" s="5" t="s">
        <v>28</v>
      </c>
      <c r="F545" t="s">
        <v>119</v>
      </c>
      <c r="G545" s="4" t="str">
        <f t="shared" si="17"/>
        <v>500.000–1.000.000</v>
      </c>
      <c r="H545" t="s">
        <v>7</v>
      </c>
      <c r="I545">
        <v>2</v>
      </c>
      <c r="J545" t="s">
        <v>8</v>
      </c>
      <c r="K545" s="5" t="s">
        <v>114</v>
      </c>
      <c r="L545" s="5" t="s">
        <v>11</v>
      </c>
      <c r="M545" s="5" t="s">
        <v>57</v>
      </c>
      <c r="N545" s="5" t="s">
        <v>58</v>
      </c>
      <c r="O545" s="5" t="s">
        <v>42</v>
      </c>
      <c r="P545" s="5" t="s">
        <v>15</v>
      </c>
      <c r="Q545" s="5" t="s">
        <v>17</v>
      </c>
      <c r="R545" s="5" t="s">
        <v>43</v>
      </c>
      <c r="S545" s="5" t="s">
        <v>21</v>
      </c>
      <c r="T545" s="6" t="s">
        <v>84</v>
      </c>
      <c r="U545" s="6">
        <v>1</v>
      </c>
      <c r="V545" s="6" t="s">
        <v>26</v>
      </c>
      <c r="W545" s="6">
        <v>1</v>
      </c>
      <c r="X545" s="6" t="s">
        <v>46</v>
      </c>
      <c r="Y545">
        <v>1</v>
      </c>
      <c r="Z545" s="5" t="s">
        <v>46</v>
      </c>
      <c r="AA545" s="5" t="s">
        <v>46</v>
      </c>
      <c r="AB545" s="5" t="s">
        <v>46</v>
      </c>
    </row>
    <row r="546" spans="1:28" x14ac:dyDescent="0.35">
      <c r="A546" s="8" t="s">
        <v>932</v>
      </c>
      <c r="B546" s="5" t="s">
        <v>612</v>
      </c>
      <c r="C546">
        <v>1999</v>
      </c>
      <c r="D546">
        <f t="shared" ca="1" si="16"/>
        <v>26</v>
      </c>
      <c r="E546" s="5" t="s">
        <v>6</v>
      </c>
      <c r="F546" t="s">
        <v>137</v>
      </c>
      <c r="G546" s="4" t="str">
        <f t="shared" si="17"/>
        <v>1.000.000–2.000.000</v>
      </c>
      <c r="H546" t="s">
        <v>139</v>
      </c>
      <c r="I546">
        <v>2</v>
      </c>
      <c r="J546" t="s">
        <v>8</v>
      </c>
      <c r="K546" s="5" t="s">
        <v>10</v>
      </c>
      <c r="L546" s="5" t="s">
        <v>11</v>
      </c>
      <c r="M546" s="5" t="s">
        <v>40</v>
      </c>
      <c r="N546" s="5" t="s">
        <v>37</v>
      </c>
      <c r="O546" s="5" t="s">
        <v>42</v>
      </c>
      <c r="P546" s="5" t="s">
        <v>15</v>
      </c>
      <c r="Q546" s="5" t="s">
        <v>17</v>
      </c>
      <c r="R546" s="5" t="s">
        <v>87</v>
      </c>
      <c r="S546" s="5" t="s">
        <v>21</v>
      </c>
      <c r="T546" s="6" t="s">
        <v>23</v>
      </c>
      <c r="U546" s="6">
        <v>1</v>
      </c>
      <c r="V546" s="6" t="s">
        <v>613</v>
      </c>
      <c r="W546" s="6">
        <v>1</v>
      </c>
      <c r="X546" s="6" t="s">
        <v>46</v>
      </c>
      <c r="Y546">
        <v>1</v>
      </c>
      <c r="Z546" s="5" t="s">
        <v>44</v>
      </c>
      <c r="AA546" s="5" t="s">
        <v>46</v>
      </c>
      <c r="AB546" s="5" t="s">
        <v>46</v>
      </c>
    </row>
    <row r="547" spans="1:28" x14ac:dyDescent="0.35">
      <c r="A547" s="8" t="s">
        <v>933</v>
      </c>
      <c r="B547" s="5" t="s">
        <v>614</v>
      </c>
      <c r="C547">
        <v>1994</v>
      </c>
      <c r="D547">
        <f t="shared" ca="1" si="16"/>
        <v>31</v>
      </c>
      <c r="E547" s="5" t="s">
        <v>28</v>
      </c>
      <c r="F547" t="s">
        <v>54</v>
      </c>
      <c r="G547" s="4" t="str">
        <f t="shared" si="17"/>
        <v>1.000.000–2.000.000</v>
      </c>
      <c r="H547" t="s">
        <v>139</v>
      </c>
      <c r="I547">
        <v>2</v>
      </c>
      <c r="J547" t="s">
        <v>8</v>
      </c>
      <c r="K547" s="5" t="s">
        <v>10</v>
      </c>
      <c r="L547" s="5" t="s">
        <v>11</v>
      </c>
      <c r="M547" s="5" t="s">
        <v>40</v>
      </c>
      <c r="N547" s="5" t="s">
        <v>37</v>
      </c>
      <c r="O547" s="5" t="s">
        <v>42</v>
      </c>
      <c r="P547" s="5" t="s">
        <v>15</v>
      </c>
      <c r="Q547" s="5" t="s">
        <v>17</v>
      </c>
      <c r="R547" s="5" t="s">
        <v>87</v>
      </c>
      <c r="S547" s="5" t="s">
        <v>21</v>
      </c>
      <c r="T547" s="6" t="s">
        <v>23</v>
      </c>
      <c r="U547" s="6">
        <v>1</v>
      </c>
      <c r="V547" s="6" t="s">
        <v>613</v>
      </c>
      <c r="W547" s="6">
        <v>1</v>
      </c>
      <c r="X547" s="6" t="s">
        <v>46</v>
      </c>
      <c r="Y547">
        <v>1</v>
      </c>
      <c r="Z547" s="5" t="s">
        <v>44</v>
      </c>
      <c r="AA547" s="5" t="s">
        <v>46</v>
      </c>
      <c r="AB547" s="5" t="s">
        <v>46</v>
      </c>
    </row>
    <row r="548" spans="1:28" x14ac:dyDescent="0.35">
      <c r="A548" s="8" t="s">
        <v>934</v>
      </c>
      <c r="B548" s="5" t="s">
        <v>615</v>
      </c>
      <c r="C548">
        <v>1990</v>
      </c>
      <c r="D548">
        <f t="shared" ref="D548:D611" ca="1" si="18">YEAR(TODAY()) - C548</f>
        <v>35</v>
      </c>
      <c r="E548" s="5" t="s">
        <v>6</v>
      </c>
      <c r="F548" t="s">
        <v>187</v>
      </c>
      <c r="G548" s="4" t="str">
        <f t="shared" si="17"/>
        <v>2.000.000–3.000.000</v>
      </c>
      <c r="H548" t="s">
        <v>30</v>
      </c>
      <c r="I548">
        <v>0</v>
      </c>
      <c r="J548" t="s">
        <v>8</v>
      </c>
      <c r="K548" s="5" t="s">
        <v>114</v>
      </c>
      <c r="L548" s="5" t="s">
        <v>11</v>
      </c>
      <c r="M548" s="5" t="s">
        <v>57</v>
      </c>
      <c r="N548" s="5" t="s">
        <v>58</v>
      </c>
      <c r="O548" s="5" t="s">
        <v>42</v>
      </c>
      <c r="P548" s="5" t="s">
        <v>15</v>
      </c>
      <c r="Q548" s="5" t="s">
        <v>17</v>
      </c>
      <c r="R548" s="5" t="s">
        <v>43</v>
      </c>
      <c r="S548" s="5" t="s">
        <v>21</v>
      </c>
      <c r="T548" s="6" t="s">
        <v>23</v>
      </c>
      <c r="U548" s="6">
        <v>1</v>
      </c>
      <c r="V548" s="6" t="s">
        <v>26</v>
      </c>
      <c r="W548" s="6">
        <v>1</v>
      </c>
      <c r="X548" s="6" t="s">
        <v>46</v>
      </c>
      <c r="Y548">
        <v>0</v>
      </c>
      <c r="Z548" s="5" t="s">
        <v>46</v>
      </c>
      <c r="AA548" s="5" t="s">
        <v>46</v>
      </c>
      <c r="AB548" s="5" t="s">
        <v>35</v>
      </c>
    </row>
    <row r="549" spans="1:28" x14ac:dyDescent="0.35">
      <c r="A549" s="8" t="s">
        <v>935</v>
      </c>
      <c r="B549" s="5" t="s">
        <v>410</v>
      </c>
      <c r="C549">
        <v>1986</v>
      </c>
      <c r="D549">
        <f t="shared" ca="1" si="18"/>
        <v>39</v>
      </c>
      <c r="E549" s="5" t="s">
        <v>6</v>
      </c>
      <c r="F549" t="s">
        <v>137</v>
      </c>
      <c r="G549" s="4" t="str">
        <f t="shared" ref="G549:G612" si="19">IF(OR(
    F549="Tidak bekerja",
    F549="Pekerja keluarga/Tidak dibayar"),
    IF(OR(H549="Tidak Sekolah", H549="SD"), "&lt;500.000", "500.000–1.000.000"),
IF(OR(
    F549="Pekerja Bebas Pertanian",
    F549="Pekerja Bebas non-Pertanian"),
    IF(OR(H549="Tidak Sekolah", H549="SD", H549="SMP"), "500.000–1.000.000", "1.000.000–2.000.000"),
IF(F549="Buruh/Karyawan/Pegawai Swasta",
    IF(OR(H549="SD", H549="SMP"), "500.000–1.000.000",
       IF(OR(H549="SMA/SMK", H549="D1/2/3"), "1.000.000–2.000.000", "2.000.000–3.000.000")
    ),
IF(F549="Berusaha Sendiri",
    IF(OR(H549="SD", H549="SMP"), "500.000–1.000.000", "1.000.000–2.000.000"),
IF(F549="Berusaha dibantu buruh tidak tetap/Tidak dibayar", "1.000.000–2.000.000",
IF(F549="Berusaha dibantu buruh tetap/Dibayar", "2.000.000–3.000.000",
IF(F549="PNS/TNI/Polri/BUMN/BUMD/Anggota Legislatif", "2.000.000–3.000.000",
""
)))))))</f>
        <v>500.000–1.000.000</v>
      </c>
      <c r="H549" t="s">
        <v>7</v>
      </c>
      <c r="I549">
        <v>4</v>
      </c>
      <c r="J549" t="s">
        <v>72</v>
      </c>
      <c r="K549" s="5" t="s">
        <v>114</v>
      </c>
      <c r="L549" s="5" t="s">
        <v>11</v>
      </c>
      <c r="M549" s="5" t="s">
        <v>57</v>
      </c>
      <c r="N549" s="5" t="s">
        <v>58</v>
      </c>
      <c r="O549" s="5" t="s">
        <v>42</v>
      </c>
      <c r="P549" s="5" t="s">
        <v>15</v>
      </c>
      <c r="Q549" s="5" t="s">
        <v>17</v>
      </c>
      <c r="R549" s="5" t="s">
        <v>43</v>
      </c>
      <c r="S549" s="5" t="s">
        <v>21</v>
      </c>
      <c r="T549" s="6" t="s">
        <v>23</v>
      </c>
      <c r="U549" s="6">
        <v>1</v>
      </c>
      <c r="V549" s="6" t="s">
        <v>76</v>
      </c>
      <c r="W549" s="6">
        <v>1</v>
      </c>
      <c r="X549" s="6" t="s">
        <v>46</v>
      </c>
      <c r="Y549">
        <v>3</v>
      </c>
      <c r="Z549" s="5" t="s">
        <v>44</v>
      </c>
      <c r="AA549" s="5" t="s">
        <v>46</v>
      </c>
      <c r="AB549" s="5" t="s">
        <v>46</v>
      </c>
    </row>
    <row r="550" spans="1:28" x14ac:dyDescent="0.35">
      <c r="A550" s="8" t="s">
        <v>936</v>
      </c>
      <c r="B550" s="5" t="s">
        <v>616</v>
      </c>
      <c r="C550">
        <v>1989</v>
      </c>
      <c r="D550">
        <f t="shared" ca="1" si="18"/>
        <v>36</v>
      </c>
      <c r="E550" s="5" t="s">
        <v>28</v>
      </c>
      <c r="F550" t="s">
        <v>29</v>
      </c>
      <c r="G550" s="4" t="str">
        <f t="shared" si="19"/>
        <v>&lt;500.000</v>
      </c>
      <c r="H550" t="s">
        <v>63</v>
      </c>
      <c r="I550">
        <v>4</v>
      </c>
      <c r="J550" t="s">
        <v>72</v>
      </c>
      <c r="K550" s="5" t="s">
        <v>114</v>
      </c>
      <c r="L550" s="5" t="s">
        <v>11</v>
      </c>
      <c r="M550" s="5" t="s">
        <v>57</v>
      </c>
      <c r="N550" s="5" t="s">
        <v>58</v>
      </c>
      <c r="O550" s="5" t="s">
        <v>42</v>
      </c>
      <c r="P550" s="5" t="s">
        <v>15</v>
      </c>
      <c r="Q550" s="5" t="s">
        <v>17</v>
      </c>
      <c r="R550" s="5" t="s">
        <v>43</v>
      </c>
      <c r="S550" s="5" t="s">
        <v>21</v>
      </c>
      <c r="T550" s="6" t="s">
        <v>23</v>
      </c>
      <c r="U550" s="6">
        <v>1</v>
      </c>
      <c r="V550" s="6" t="s">
        <v>76</v>
      </c>
      <c r="W550" s="6">
        <v>1</v>
      </c>
      <c r="X550" s="6" t="s">
        <v>46</v>
      </c>
      <c r="Y550">
        <v>3</v>
      </c>
      <c r="Z550" s="5" t="s">
        <v>44</v>
      </c>
      <c r="AA550" s="5" t="s">
        <v>46</v>
      </c>
      <c r="AB550" s="5" t="s">
        <v>46</v>
      </c>
    </row>
    <row r="551" spans="1:28" x14ac:dyDescent="0.35">
      <c r="A551" s="8" t="s">
        <v>937</v>
      </c>
      <c r="B551" s="5" t="s">
        <v>617</v>
      </c>
      <c r="C551">
        <v>1955</v>
      </c>
      <c r="D551">
        <f t="shared" ca="1" si="18"/>
        <v>70</v>
      </c>
      <c r="E551" s="5" t="s">
        <v>6</v>
      </c>
      <c r="F551" t="s">
        <v>151</v>
      </c>
      <c r="G551" s="4" t="str">
        <f t="shared" si="19"/>
        <v>500.000–1.000.000</v>
      </c>
      <c r="H551" t="s">
        <v>30</v>
      </c>
      <c r="I551">
        <v>1</v>
      </c>
      <c r="J551" t="s">
        <v>8</v>
      </c>
      <c r="K551" s="5" t="s">
        <v>38</v>
      </c>
      <c r="L551" s="5" t="s">
        <v>49</v>
      </c>
      <c r="M551" s="5" t="s">
        <v>40</v>
      </c>
      <c r="N551" s="5" t="s">
        <v>37</v>
      </c>
      <c r="O551" s="5" t="s">
        <v>42</v>
      </c>
      <c r="P551" s="5" t="s">
        <v>15</v>
      </c>
      <c r="Q551" s="5" t="s">
        <v>17</v>
      </c>
      <c r="R551" s="5" t="s">
        <v>87</v>
      </c>
      <c r="S551" s="5" t="s">
        <v>21</v>
      </c>
      <c r="T551" s="6" t="s">
        <v>23</v>
      </c>
      <c r="U551" s="6">
        <v>1</v>
      </c>
      <c r="V551" s="6" t="s">
        <v>76</v>
      </c>
      <c r="W551" s="6">
        <v>1</v>
      </c>
      <c r="X551" s="6" t="s">
        <v>46</v>
      </c>
      <c r="Y551">
        <v>1</v>
      </c>
      <c r="Z551" s="5" t="s">
        <v>46</v>
      </c>
      <c r="AA551" s="5" t="s">
        <v>64</v>
      </c>
      <c r="AB551" s="5" t="s">
        <v>46</v>
      </c>
    </row>
    <row r="552" spans="1:28" x14ac:dyDescent="0.35">
      <c r="A552" s="8" t="s">
        <v>938</v>
      </c>
      <c r="B552" s="5" t="s">
        <v>325</v>
      </c>
      <c r="C552">
        <v>1956</v>
      </c>
      <c r="D552">
        <f t="shared" ca="1" si="18"/>
        <v>69</v>
      </c>
      <c r="E552" s="5" t="s">
        <v>28</v>
      </c>
      <c r="F552" t="s">
        <v>29</v>
      </c>
      <c r="G552" s="4" t="str">
        <f t="shared" si="19"/>
        <v>&lt;500.000</v>
      </c>
      <c r="H552" t="s">
        <v>63</v>
      </c>
      <c r="I552">
        <v>1</v>
      </c>
      <c r="J552" t="s">
        <v>8</v>
      </c>
      <c r="K552" s="5" t="s">
        <v>38</v>
      </c>
      <c r="L552" s="5" t="s">
        <v>49</v>
      </c>
      <c r="M552" s="5" t="s">
        <v>40</v>
      </c>
      <c r="N552" s="5" t="s">
        <v>37</v>
      </c>
      <c r="O552" s="5" t="s">
        <v>42</v>
      </c>
      <c r="P552" s="5" t="s">
        <v>15</v>
      </c>
      <c r="Q552" s="5" t="s">
        <v>17</v>
      </c>
      <c r="R552" s="5" t="s">
        <v>87</v>
      </c>
      <c r="S552" s="5" t="s">
        <v>21</v>
      </c>
      <c r="T552" s="6" t="s">
        <v>23</v>
      </c>
      <c r="U552" s="6">
        <v>1</v>
      </c>
      <c r="V552" s="6" t="s">
        <v>76</v>
      </c>
      <c r="W552" s="6">
        <v>1</v>
      </c>
      <c r="X552" s="6" t="s">
        <v>46</v>
      </c>
      <c r="Y552">
        <v>1</v>
      </c>
      <c r="Z552" s="5" t="s">
        <v>46</v>
      </c>
      <c r="AA552" s="5" t="s">
        <v>64</v>
      </c>
      <c r="AB552" s="5" t="s">
        <v>46</v>
      </c>
    </row>
    <row r="553" spans="1:28" x14ac:dyDescent="0.35">
      <c r="A553" s="8" t="s">
        <v>939</v>
      </c>
      <c r="B553" s="5" t="s">
        <v>618</v>
      </c>
      <c r="C553">
        <v>1969</v>
      </c>
      <c r="D553">
        <f t="shared" ca="1" si="18"/>
        <v>56</v>
      </c>
      <c r="E553" s="5" t="s">
        <v>6</v>
      </c>
      <c r="F553" t="s">
        <v>137</v>
      </c>
      <c r="G553" s="4" t="str">
        <f t="shared" si="19"/>
        <v>500.000–1.000.000</v>
      </c>
      <c r="H553" t="s">
        <v>30</v>
      </c>
      <c r="I553">
        <v>1</v>
      </c>
      <c r="J553" t="s">
        <v>8</v>
      </c>
      <c r="K553" s="5" t="s">
        <v>38</v>
      </c>
      <c r="L553" s="5" t="s">
        <v>11</v>
      </c>
      <c r="M553" s="5" t="s">
        <v>57</v>
      </c>
      <c r="N553" s="5" t="s">
        <v>58</v>
      </c>
      <c r="O553" s="5" t="s">
        <v>42</v>
      </c>
      <c r="P553" s="5" t="s">
        <v>15</v>
      </c>
      <c r="Q553" s="5" t="s">
        <v>17</v>
      </c>
      <c r="R553" s="5" t="s">
        <v>43</v>
      </c>
      <c r="S553" s="5" t="s">
        <v>21</v>
      </c>
      <c r="T553" s="6" t="s">
        <v>23</v>
      </c>
      <c r="U553" s="6">
        <v>1</v>
      </c>
      <c r="V553" s="6" t="s">
        <v>117</v>
      </c>
      <c r="W553" s="6">
        <v>1</v>
      </c>
      <c r="X553" s="6" t="s">
        <v>46</v>
      </c>
      <c r="Y553">
        <v>1</v>
      </c>
      <c r="Z553" s="5" t="s">
        <v>46</v>
      </c>
      <c r="AA553" s="5" t="s">
        <v>46</v>
      </c>
      <c r="AB553" s="5" t="s">
        <v>74</v>
      </c>
    </row>
    <row r="554" spans="1:28" x14ac:dyDescent="0.35">
      <c r="A554" s="8" t="s">
        <v>940</v>
      </c>
      <c r="B554" s="5" t="s">
        <v>619</v>
      </c>
      <c r="C554">
        <v>1992</v>
      </c>
      <c r="D554">
        <f t="shared" ca="1" si="18"/>
        <v>33</v>
      </c>
      <c r="E554" s="5" t="s">
        <v>6</v>
      </c>
      <c r="F554" t="s">
        <v>55</v>
      </c>
      <c r="G554" s="4" t="str">
        <f t="shared" si="19"/>
        <v>500.000–1.000.000</v>
      </c>
      <c r="H554" t="s">
        <v>7</v>
      </c>
      <c r="I554">
        <v>2</v>
      </c>
      <c r="J554" t="s">
        <v>8</v>
      </c>
      <c r="K554" s="5" t="s">
        <v>114</v>
      </c>
      <c r="L554" s="5" t="s">
        <v>11</v>
      </c>
      <c r="M554" s="5" t="s">
        <v>57</v>
      </c>
      <c r="N554" s="5" t="s">
        <v>58</v>
      </c>
      <c r="O554" s="5" t="s">
        <v>42</v>
      </c>
      <c r="P554" s="5" t="s">
        <v>15</v>
      </c>
      <c r="Q554" s="5" t="s">
        <v>17</v>
      </c>
      <c r="R554" s="5" t="s">
        <v>43</v>
      </c>
      <c r="S554" s="5" t="s">
        <v>21</v>
      </c>
      <c r="T554" s="6" t="s">
        <v>23</v>
      </c>
      <c r="U554" s="6">
        <v>1</v>
      </c>
      <c r="V554" s="6" t="s">
        <v>181</v>
      </c>
      <c r="W554" s="6">
        <v>1</v>
      </c>
      <c r="X554" s="6" t="s">
        <v>46</v>
      </c>
      <c r="Y554">
        <v>2</v>
      </c>
      <c r="Z554" s="5" t="s">
        <v>46</v>
      </c>
      <c r="AA554" s="5" t="s">
        <v>46</v>
      </c>
      <c r="AB554" s="5" t="s">
        <v>46</v>
      </c>
    </row>
    <row r="555" spans="1:28" x14ac:dyDescent="0.35">
      <c r="A555" s="8" t="s">
        <v>941</v>
      </c>
      <c r="B555" s="5" t="s">
        <v>620</v>
      </c>
      <c r="C555">
        <v>1988</v>
      </c>
      <c r="D555">
        <f t="shared" ca="1" si="18"/>
        <v>37</v>
      </c>
      <c r="E555" s="5" t="s">
        <v>6</v>
      </c>
      <c r="F555" t="s">
        <v>55</v>
      </c>
      <c r="G555" s="4" t="str">
        <f t="shared" si="19"/>
        <v>500.000–1.000.000</v>
      </c>
      <c r="H555" t="s">
        <v>7</v>
      </c>
      <c r="I555">
        <v>1</v>
      </c>
      <c r="J555" t="s">
        <v>48</v>
      </c>
      <c r="K555" s="5" t="s">
        <v>114</v>
      </c>
      <c r="L555" s="5" t="s">
        <v>11</v>
      </c>
      <c r="M555" s="5" t="s">
        <v>57</v>
      </c>
      <c r="N555" s="5" t="s">
        <v>58</v>
      </c>
      <c r="O555" s="5" t="s">
        <v>42</v>
      </c>
      <c r="P555" s="5" t="s">
        <v>15</v>
      </c>
      <c r="Q555" s="5" t="s">
        <v>17</v>
      </c>
      <c r="R555" s="5" t="s">
        <v>43</v>
      </c>
      <c r="S555" s="5" t="s">
        <v>21</v>
      </c>
      <c r="T555" s="6" t="s">
        <v>23</v>
      </c>
      <c r="U555" s="6">
        <v>1</v>
      </c>
      <c r="V555" s="6" t="s">
        <v>76</v>
      </c>
      <c r="W555" s="6">
        <v>1</v>
      </c>
      <c r="X555" s="6" t="s">
        <v>46</v>
      </c>
      <c r="Y555">
        <v>0</v>
      </c>
      <c r="Z555" s="5" t="s">
        <v>44</v>
      </c>
      <c r="AA555" s="5" t="s">
        <v>46</v>
      </c>
      <c r="AB555" s="5" t="s">
        <v>74</v>
      </c>
    </row>
    <row r="556" spans="1:28" x14ac:dyDescent="0.35">
      <c r="A556" s="8" t="s">
        <v>942</v>
      </c>
      <c r="B556" s="5" t="s">
        <v>621</v>
      </c>
      <c r="C556">
        <v>2000</v>
      </c>
      <c r="D556">
        <f t="shared" ca="1" si="18"/>
        <v>25</v>
      </c>
      <c r="E556" s="5" t="s">
        <v>28</v>
      </c>
      <c r="F556" t="s">
        <v>29</v>
      </c>
      <c r="G556" s="4" t="str">
        <f t="shared" si="19"/>
        <v>500.000–1.000.000</v>
      </c>
      <c r="H556" t="s">
        <v>139</v>
      </c>
      <c r="I556">
        <v>1</v>
      </c>
      <c r="J556" t="s">
        <v>48</v>
      </c>
      <c r="K556" s="5" t="s">
        <v>114</v>
      </c>
      <c r="L556" s="5" t="s">
        <v>11</v>
      </c>
      <c r="M556" s="5" t="s">
        <v>57</v>
      </c>
      <c r="N556" s="5" t="s">
        <v>58</v>
      </c>
      <c r="O556" s="5" t="s">
        <v>42</v>
      </c>
      <c r="P556" s="5" t="s">
        <v>15</v>
      </c>
      <c r="Q556" s="5" t="s">
        <v>17</v>
      </c>
      <c r="R556" s="5" t="s">
        <v>43</v>
      </c>
      <c r="S556" s="5" t="s">
        <v>21</v>
      </c>
      <c r="T556" s="6" t="s">
        <v>23</v>
      </c>
      <c r="U556" s="6">
        <v>1</v>
      </c>
      <c r="V556" s="6" t="s">
        <v>76</v>
      </c>
      <c r="W556" s="6">
        <v>1</v>
      </c>
      <c r="X556" s="6" t="s">
        <v>46</v>
      </c>
      <c r="Y556">
        <v>0</v>
      </c>
      <c r="Z556" s="5" t="s">
        <v>44</v>
      </c>
      <c r="AA556" s="5" t="s">
        <v>46</v>
      </c>
      <c r="AB556" s="5" t="s">
        <v>74</v>
      </c>
    </row>
    <row r="557" spans="1:28" x14ac:dyDescent="0.35">
      <c r="A557" s="8" t="s">
        <v>943</v>
      </c>
      <c r="B557" s="5" t="s">
        <v>622</v>
      </c>
      <c r="C557">
        <v>1974</v>
      </c>
      <c r="D557">
        <f t="shared" ca="1" si="18"/>
        <v>51</v>
      </c>
      <c r="E557" s="5" t="s">
        <v>6</v>
      </c>
      <c r="F557" t="s">
        <v>29</v>
      </c>
      <c r="G557" s="4" t="str">
        <f t="shared" si="19"/>
        <v>&lt;500.000</v>
      </c>
      <c r="H557" t="s">
        <v>63</v>
      </c>
      <c r="I557">
        <v>3</v>
      </c>
      <c r="J557" t="s">
        <v>8</v>
      </c>
      <c r="K557" s="5" t="s">
        <v>114</v>
      </c>
      <c r="L557" s="5" t="s">
        <v>11</v>
      </c>
      <c r="M557" s="5" t="s">
        <v>57</v>
      </c>
      <c r="N557" s="5" t="s">
        <v>58</v>
      </c>
      <c r="O557" s="5" t="s">
        <v>42</v>
      </c>
      <c r="P557" s="5" t="s">
        <v>15</v>
      </c>
      <c r="Q557" s="5" t="s">
        <v>17</v>
      </c>
      <c r="R557" s="5" t="s">
        <v>43</v>
      </c>
      <c r="S557" s="5" t="s">
        <v>21</v>
      </c>
      <c r="T557" s="6" t="s">
        <v>84</v>
      </c>
      <c r="U557" s="6">
        <v>1</v>
      </c>
      <c r="V557" s="6" t="s">
        <v>26</v>
      </c>
      <c r="W557" s="6">
        <v>1</v>
      </c>
      <c r="X557" s="6" t="s">
        <v>46</v>
      </c>
      <c r="Y557">
        <v>2</v>
      </c>
      <c r="Z557" s="5" t="s">
        <v>46</v>
      </c>
      <c r="AA557" s="5" t="s">
        <v>46</v>
      </c>
      <c r="AB557" s="5" t="s">
        <v>46</v>
      </c>
    </row>
    <row r="558" spans="1:28" x14ac:dyDescent="0.35">
      <c r="A558" s="8" t="s">
        <v>944</v>
      </c>
      <c r="B558" s="5" t="s">
        <v>623</v>
      </c>
      <c r="C558">
        <v>1980</v>
      </c>
      <c r="D558">
        <f t="shared" ca="1" si="18"/>
        <v>45</v>
      </c>
      <c r="E558" s="5" t="s">
        <v>28</v>
      </c>
      <c r="F558" t="s">
        <v>29</v>
      </c>
      <c r="G558" s="4" t="str">
        <f t="shared" si="19"/>
        <v>500.000–1.000.000</v>
      </c>
      <c r="H558" t="s">
        <v>7</v>
      </c>
      <c r="I558">
        <v>3</v>
      </c>
      <c r="J558" t="s">
        <v>8</v>
      </c>
      <c r="K558" s="5" t="s">
        <v>114</v>
      </c>
      <c r="L558" s="5" t="s">
        <v>11</v>
      </c>
      <c r="M558" s="5" t="s">
        <v>57</v>
      </c>
      <c r="N558" s="5" t="s">
        <v>58</v>
      </c>
      <c r="O558" s="5" t="s">
        <v>42</v>
      </c>
      <c r="P558" s="5" t="s">
        <v>15</v>
      </c>
      <c r="Q558" s="5" t="s">
        <v>17</v>
      </c>
      <c r="R558" s="5" t="s">
        <v>43</v>
      </c>
      <c r="S558" s="5" t="s">
        <v>21</v>
      </c>
      <c r="T558" s="6" t="s">
        <v>84</v>
      </c>
      <c r="U558" s="6">
        <v>1</v>
      </c>
      <c r="V558" s="6" t="s">
        <v>26</v>
      </c>
      <c r="W558" s="6">
        <v>1</v>
      </c>
      <c r="X558" s="6" t="s">
        <v>46</v>
      </c>
      <c r="Y558">
        <v>2</v>
      </c>
      <c r="Z558" s="5" t="s">
        <v>46</v>
      </c>
      <c r="AA558" s="5" t="s">
        <v>46</v>
      </c>
      <c r="AB558" s="5" t="s">
        <v>46</v>
      </c>
    </row>
    <row r="559" spans="1:28" x14ac:dyDescent="0.35">
      <c r="A559" s="8" t="s">
        <v>945</v>
      </c>
      <c r="B559" s="5" t="s">
        <v>624</v>
      </c>
      <c r="C559">
        <v>1952</v>
      </c>
      <c r="D559">
        <f t="shared" ca="1" si="18"/>
        <v>73</v>
      </c>
      <c r="E559" s="5" t="s">
        <v>6</v>
      </c>
      <c r="F559" t="s">
        <v>151</v>
      </c>
      <c r="G559" s="4" t="str">
        <f t="shared" si="19"/>
        <v>500.000–1.000.000</v>
      </c>
      <c r="H559" t="s">
        <v>30</v>
      </c>
      <c r="I559">
        <v>0</v>
      </c>
      <c r="J559" t="s">
        <v>8</v>
      </c>
      <c r="K559" s="5" t="s">
        <v>114</v>
      </c>
      <c r="L559" s="5" t="s">
        <v>11</v>
      </c>
      <c r="M559" s="5" t="s">
        <v>57</v>
      </c>
      <c r="N559" s="5" t="s">
        <v>58</v>
      </c>
      <c r="O559" s="5" t="s">
        <v>42</v>
      </c>
      <c r="P559" s="5" t="s">
        <v>15</v>
      </c>
      <c r="Q559" s="5" t="s">
        <v>17</v>
      </c>
      <c r="R559" s="5" t="s">
        <v>43</v>
      </c>
      <c r="S559" s="5" t="s">
        <v>21</v>
      </c>
      <c r="T559" s="6" t="s">
        <v>73</v>
      </c>
      <c r="U559" s="6">
        <v>0</v>
      </c>
      <c r="V559" s="6" t="s">
        <v>117</v>
      </c>
      <c r="W559" s="6">
        <v>1</v>
      </c>
      <c r="X559" s="6" t="s">
        <v>44</v>
      </c>
      <c r="Y559">
        <v>0</v>
      </c>
      <c r="Z559" s="5" t="s">
        <v>46</v>
      </c>
      <c r="AA559" s="5" t="s">
        <v>64</v>
      </c>
      <c r="AB559" s="5" t="s">
        <v>46</v>
      </c>
    </row>
    <row r="560" spans="1:28" x14ac:dyDescent="0.35">
      <c r="A560" s="8" t="s">
        <v>946</v>
      </c>
      <c r="B560" s="5" t="s">
        <v>625</v>
      </c>
      <c r="C560">
        <v>1956</v>
      </c>
      <c r="D560">
        <f t="shared" ca="1" si="18"/>
        <v>69</v>
      </c>
      <c r="E560" s="5" t="s">
        <v>28</v>
      </c>
      <c r="F560" t="s">
        <v>29</v>
      </c>
      <c r="G560" s="4" t="str">
        <f t="shared" si="19"/>
        <v>&lt;500.000</v>
      </c>
      <c r="H560" t="s">
        <v>30</v>
      </c>
      <c r="I560">
        <v>0</v>
      </c>
      <c r="J560" t="s">
        <v>8</v>
      </c>
      <c r="K560" s="5" t="s">
        <v>114</v>
      </c>
      <c r="L560" s="5" t="s">
        <v>11</v>
      </c>
      <c r="M560" s="5" t="s">
        <v>57</v>
      </c>
      <c r="N560" s="5" t="s">
        <v>58</v>
      </c>
      <c r="O560" s="5" t="s">
        <v>42</v>
      </c>
      <c r="P560" s="5" t="s">
        <v>15</v>
      </c>
      <c r="Q560" s="5" t="s">
        <v>17</v>
      </c>
      <c r="R560" s="5" t="s">
        <v>43</v>
      </c>
      <c r="S560" s="5" t="s">
        <v>21</v>
      </c>
      <c r="T560" s="6" t="s">
        <v>73</v>
      </c>
      <c r="U560" s="6">
        <v>0</v>
      </c>
      <c r="V560" s="6" t="s">
        <v>117</v>
      </c>
      <c r="W560" s="6">
        <v>1</v>
      </c>
      <c r="X560" s="6" t="s">
        <v>44</v>
      </c>
      <c r="Y560">
        <v>0</v>
      </c>
      <c r="Z560" s="5" t="s">
        <v>46</v>
      </c>
      <c r="AA560" s="5" t="s">
        <v>64</v>
      </c>
      <c r="AB560" s="5" t="s">
        <v>46</v>
      </c>
    </row>
    <row r="561" spans="1:28" x14ac:dyDescent="0.35">
      <c r="A561" s="8" t="s">
        <v>947</v>
      </c>
      <c r="B561" s="5" t="s">
        <v>626</v>
      </c>
      <c r="C561">
        <v>1988</v>
      </c>
      <c r="D561">
        <f t="shared" ca="1" si="18"/>
        <v>37</v>
      </c>
      <c r="E561" s="5" t="s">
        <v>6</v>
      </c>
      <c r="F561" t="s">
        <v>54</v>
      </c>
      <c r="G561" s="4" t="str">
        <f t="shared" si="19"/>
        <v>500.000–1.000.000</v>
      </c>
      <c r="H561" t="s">
        <v>7</v>
      </c>
      <c r="I561">
        <v>3</v>
      </c>
      <c r="J561" t="s">
        <v>48</v>
      </c>
      <c r="K561" s="5" t="s">
        <v>114</v>
      </c>
      <c r="L561" s="5" t="s">
        <v>11</v>
      </c>
      <c r="M561" s="5" t="s">
        <v>57</v>
      </c>
      <c r="N561" s="5" t="s">
        <v>58</v>
      </c>
      <c r="O561" s="5" t="s">
        <v>42</v>
      </c>
      <c r="P561" s="5" t="s">
        <v>15</v>
      </c>
      <c r="Q561" s="5" t="s">
        <v>17</v>
      </c>
      <c r="R561" s="5" t="s">
        <v>43</v>
      </c>
      <c r="S561" s="5" t="s">
        <v>21</v>
      </c>
      <c r="T561" s="6" t="s">
        <v>23</v>
      </c>
      <c r="U561" s="6">
        <v>1</v>
      </c>
      <c r="V561" s="6" t="s">
        <v>26</v>
      </c>
      <c r="W561" s="6">
        <v>1</v>
      </c>
      <c r="X561" s="6" t="s">
        <v>46</v>
      </c>
      <c r="Y561">
        <v>1</v>
      </c>
      <c r="Z561" s="5" t="s">
        <v>64</v>
      </c>
      <c r="AA561" s="5" t="s">
        <v>46</v>
      </c>
      <c r="AB561" s="5" t="s">
        <v>46</v>
      </c>
    </row>
    <row r="562" spans="1:28" x14ac:dyDescent="0.35">
      <c r="A562" s="8" t="s">
        <v>948</v>
      </c>
      <c r="B562" s="5" t="s">
        <v>627</v>
      </c>
      <c r="C562">
        <v>1997</v>
      </c>
      <c r="D562">
        <f t="shared" ca="1" si="18"/>
        <v>28</v>
      </c>
      <c r="E562" s="5" t="s">
        <v>28</v>
      </c>
      <c r="F562" t="s">
        <v>29</v>
      </c>
      <c r="G562" s="4" t="str">
        <f t="shared" si="19"/>
        <v>500.000–1.000.000</v>
      </c>
      <c r="H562" t="s">
        <v>7</v>
      </c>
      <c r="I562">
        <v>3</v>
      </c>
      <c r="J562" t="s">
        <v>48</v>
      </c>
      <c r="K562" s="5" t="s">
        <v>114</v>
      </c>
      <c r="L562" s="5" t="s">
        <v>11</v>
      </c>
      <c r="M562" s="5" t="s">
        <v>57</v>
      </c>
      <c r="N562" s="5" t="s">
        <v>58</v>
      </c>
      <c r="O562" s="5" t="s">
        <v>42</v>
      </c>
      <c r="P562" s="5" t="s">
        <v>15</v>
      </c>
      <c r="Q562" s="5" t="s">
        <v>17</v>
      </c>
      <c r="R562" s="5" t="s">
        <v>43</v>
      </c>
      <c r="S562" s="5" t="s">
        <v>21</v>
      </c>
      <c r="T562" s="6" t="s">
        <v>23</v>
      </c>
      <c r="U562" s="6">
        <v>1</v>
      </c>
      <c r="V562" s="6" t="s">
        <v>26</v>
      </c>
      <c r="W562" s="6">
        <v>1</v>
      </c>
      <c r="X562" s="6" t="s">
        <v>46</v>
      </c>
      <c r="Y562">
        <v>1</v>
      </c>
      <c r="Z562" s="5" t="s">
        <v>64</v>
      </c>
      <c r="AA562" s="5" t="s">
        <v>46</v>
      </c>
      <c r="AB562" s="5" t="s">
        <v>46</v>
      </c>
    </row>
    <row r="563" spans="1:28" x14ac:dyDescent="0.35">
      <c r="A563" s="8" t="s">
        <v>949</v>
      </c>
      <c r="B563" s="5" t="s">
        <v>628</v>
      </c>
      <c r="C563">
        <v>1976</v>
      </c>
      <c r="D563">
        <f t="shared" ca="1" si="18"/>
        <v>49</v>
      </c>
      <c r="E563" s="5" t="s">
        <v>6</v>
      </c>
      <c r="F563" t="s">
        <v>137</v>
      </c>
      <c r="G563" s="4" t="str">
        <f t="shared" si="19"/>
        <v>500.000–1.000.000</v>
      </c>
      <c r="H563" t="s">
        <v>30</v>
      </c>
      <c r="I563">
        <v>4</v>
      </c>
      <c r="J563" t="s">
        <v>8</v>
      </c>
      <c r="K563" s="5" t="s">
        <v>114</v>
      </c>
      <c r="L563" s="5" t="s">
        <v>11</v>
      </c>
      <c r="M563" s="5" t="s">
        <v>57</v>
      </c>
      <c r="N563" s="5" t="s">
        <v>58</v>
      </c>
      <c r="O563" s="5" t="s">
        <v>42</v>
      </c>
      <c r="P563" s="5" t="s">
        <v>15</v>
      </c>
      <c r="Q563" s="5" t="s">
        <v>17</v>
      </c>
      <c r="R563" s="5" t="s">
        <v>43</v>
      </c>
      <c r="S563" s="5" t="s">
        <v>21</v>
      </c>
      <c r="T563" s="6" t="s">
        <v>23</v>
      </c>
      <c r="U563" s="6">
        <v>1</v>
      </c>
      <c r="V563" s="6" t="s">
        <v>26</v>
      </c>
      <c r="W563" s="6">
        <v>1</v>
      </c>
      <c r="X563" s="6" t="s">
        <v>46</v>
      </c>
      <c r="Y563">
        <v>2</v>
      </c>
      <c r="Z563" s="5" t="s">
        <v>44</v>
      </c>
      <c r="AA563" s="5" t="s">
        <v>46</v>
      </c>
      <c r="AB563" s="5" t="s">
        <v>46</v>
      </c>
    </row>
    <row r="564" spans="1:28" x14ac:dyDescent="0.35">
      <c r="A564" s="8" t="s">
        <v>950</v>
      </c>
      <c r="B564" s="5" t="s">
        <v>629</v>
      </c>
      <c r="C564">
        <v>1976</v>
      </c>
      <c r="D564">
        <f t="shared" ca="1" si="18"/>
        <v>49</v>
      </c>
      <c r="E564" s="5" t="s">
        <v>28</v>
      </c>
      <c r="F564" t="s">
        <v>29</v>
      </c>
      <c r="G564" s="4" t="str">
        <f t="shared" si="19"/>
        <v>&lt;500.000</v>
      </c>
      <c r="H564" t="s">
        <v>63</v>
      </c>
      <c r="I564">
        <v>4</v>
      </c>
      <c r="J564" t="s">
        <v>8</v>
      </c>
      <c r="K564" s="5" t="s">
        <v>114</v>
      </c>
      <c r="L564" s="5" t="s">
        <v>11</v>
      </c>
      <c r="M564" s="5" t="s">
        <v>57</v>
      </c>
      <c r="N564" s="5" t="s">
        <v>58</v>
      </c>
      <c r="O564" s="5" t="s">
        <v>42</v>
      </c>
      <c r="P564" s="5" t="s">
        <v>15</v>
      </c>
      <c r="Q564" s="5" t="s">
        <v>17</v>
      </c>
      <c r="R564" s="5" t="s">
        <v>43</v>
      </c>
      <c r="S564" s="5" t="s">
        <v>21</v>
      </c>
      <c r="T564" s="6" t="s">
        <v>23</v>
      </c>
      <c r="U564" s="6">
        <v>1</v>
      </c>
      <c r="V564" s="6" t="s">
        <v>26</v>
      </c>
      <c r="W564" s="6">
        <v>1</v>
      </c>
      <c r="X564" s="6" t="s">
        <v>46</v>
      </c>
      <c r="Y564">
        <v>2</v>
      </c>
      <c r="Z564" s="5" t="s">
        <v>44</v>
      </c>
      <c r="AA564" s="5" t="s">
        <v>46</v>
      </c>
      <c r="AB564" s="5" t="s">
        <v>46</v>
      </c>
    </row>
    <row r="565" spans="1:28" x14ac:dyDescent="0.35">
      <c r="A565" s="8" t="s">
        <v>951</v>
      </c>
      <c r="B565" s="5" t="s">
        <v>630</v>
      </c>
      <c r="C565">
        <v>1986</v>
      </c>
      <c r="D565">
        <f t="shared" ca="1" si="18"/>
        <v>39</v>
      </c>
      <c r="E565" s="5" t="s">
        <v>6</v>
      </c>
      <c r="F565" t="s">
        <v>54</v>
      </c>
      <c r="G565" s="4" t="str">
        <f t="shared" si="19"/>
        <v>1.000.000–2.000.000</v>
      </c>
      <c r="H565" t="s">
        <v>139</v>
      </c>
      <c r="I565">
        <v>2</v>
      </c>
      <c r="J565" t="s">
        <v>8</v>
      </c>
      <c r="K565" s="5" t="s">
        <v>114</v>
      </c>
      <c r="L565" s="5" t="s">
        <v>11</v>
      </c>
      <c r="M565" s="5" t="s">
        <v>57</v>
      </c>
      <c r="N565" s="5" t="s">
        <v>58</v>
      </c>
      <c r="O565" s="5" t="s">
        <v>42</v>
      </c>
      <c r="P565" s="5" t="s">
        <v>15</v>
      </c>
      <c r="Q565" s="5" t="s">
        <v>17</v>
      </c>
      <c r="R565" s="5" t="s">
        <v>43</v>
      </c>
      <c r="S565" s="5" t="s">
        <v>21</v>
      </c>
      <c r="T565" s="6" t="s">
        <v>23</v>
      </c>
      <c r="U565" s="6">
        <v>1</v>
      </c>
      <c r="V565" s="6" t="s">
        <v>26</v>
      </c>
      <c r="W565" s="6">
        <v>1</v>
      </c>
      <c r="X565" s="6" t="s">
        <v>46</v>
      </c>
      <c r="Y565">
        <v>2</v>
      </c>
      <c r="Z565" s="5" t="s">
        <v>46</v>
      </c>
      <c r="AA565" s="5" t="s">
        <v>46</v>
      </c>
      <c r="AB565" s="5" t="s">
        <v>46</v>
      </c>
    </row>
    <row r="566" spans="1:28" x14ac:dyDescent="0.35">
      <c r="A566" s="8" t="s">
        <v>952</v>
      </c>
      <c r="B566" s="5" t="s">
        <v>631</v>
      </c>
      <c r="C566">
        <v>1947</v>
      </c>
      <c r="D566">
        <f t="shared" ca="1" si="18"/>
        <v>78</v>
      </c>
      <c r="E566" s="5" t="s">
        <v>6</v>
      </c>
      <c r="F566" t="s">
        <v>29</v>
      </c>
      <c r="G566" s="4" t="str">
        <f t="shared" si="19"/>
        <v>&lt;500.000</v>
      </c>
      <c r="H566" t="s">
        <v>63</v>
      </c>
      <c r="I566">
        <v>0</v>
      </c>
      <c r="J566" t="s">
        <v>8</v>
      </c>
      <c r="K566" s="5" t="s">
        <v>38</v>
      </c>
      <c r="L566" s="5" t="s">
        <v>39</v>
      </c>
      <c r="M566" s="5" t="s">
        <v>40</v>
      </c>
      <c r="N566" s="5" t="s">
        <v>37</v>
      </c>
      <c r="O566" s="5" t="s">
        <v>42</v>
      </c>
      <c r="P566" s="5" t="s">
        <v>15</v>
      </c>
      <c r="Q566" s="5" t="s">
        <v>17</v>
      </c>
      <c r="R566" s="5" t="s">
        <v>87</v>
      </c>
      <c r="S566" s="5" t="s">
        <v>21</v>
      </c>
      <c r="T566" s="6" t="s">
        <v>73</v>
      </c>
      <c r="U566" s="6">
        <v>0</v>
      </c>
      <c r="V566" s="6" t="s">
        <v>73</v>
      </c>
      <c r="W566" s="6">
        <v>0</v>
      </c>
      <c r="X566" s="6" t="s">
        <v>46</v>
      </c>
      <c r="Y566">
        <v>0</v>
      </c>
      <c r="Z566" s="5" t="s">
        <v>46</v>
      </c>
      <c r="AA566" s="5" t="s">
        <v>44</v>
      </c>
      <c r="AB566" s="5" t="s">
        <v>46</v>
      </c>
    </row>
    <row r="567" spans="1:28" x14ac:dyDescent="0.35">
      <c r="A567" s="8" t="s">
        <v>953</v>
      </c>
      <c r="B567" s="5" t="s">
        <v>632</v>
      </c>
      <c r="C567">
        <v>1996</v>
      </c>
      <c r="D567">
        <f t="shared" ca="1" si="18"/>
        <v>29</v>
      </c>
      <c r="E567" s="5" t="s">
        <v>6</v>
      </c>
      <c r="F567" t="s">
        <v>137</v>
      </c>
      <c r="G567" s="4" t="str">
        <f t="shared" si="19"/>
        <v>1.000.000–2.000.000</v>
      </c>
      <c r="H567" t="s">
        <v>139</v>
      </c>
      <c r="I567">
        <v>2</v>
      </c>
      <c r="J567" t="s">
        <v>48</v>
      </c>
      <c r="K567" s="5" t="s">
        <v>38</v>
      </c>
      <c r="L567" s="5" t="s">
        <v>11</v>
      </c>
      <c r="M567" s="5" t="s">
        <v>57</v>
      </c>
      <c r="N567" s="5" t="s">
        <v>58</v>
      </c>
      <c r="O567" s="5" t="s">
        <v>42</v>
      </c>
      <c r="P567" s="5" t="s">
        <v>15</v>
      </c>
      <c r="Q567" s="5" t="s">
        <v>17</v>
      </c>
      <c r="R567" s="5" t="s">
        <v>43</v>
      </c>
      <c r="S567" s="5" t="s">
        <v>21</v>
      </c>
      <c r="T567" s="6" t="s">
        <v>23</v>
      </c>
      <c r="U567" s="6">
        <v>1</v>
      </c>
      <c r="V567" s="6" t="s">
        <v>76</v>
      </c>
      <c r="W567" s="6">
        <v>1</v>
      </c>
      <c r="X567" s="6" t="s">
        <v>46</v>
      </c>
      <c r="Y567">
        <v>0</v>
      </c>
      <c r="Z567" s="5" t="s">
        <v>64</v>
      </c>
      <c r="AA567" s="5" t="s">
        <v>46</v>
      </c>
      <c r="AB567" s="5" t="s">
        <v>46</v>
      </c>
    </row>
    <row r="568" spans="1:28" x14ac:dyDescent="0.35">
      <c r="A568" s="8" t="s">
        <v>954</v>
      </c>
      <c r="B568" s="5" t="s">
        <v>633</v>
      </c>
      <c r="C568">
        <v>2003</v>
      </c>
      <c r="D568">
        <f t="shared" ca="1" si="18"/>
        <v>22</v>
      </c>
      <c r="E568" s="5" t="s">
        <v>28</v>
      </c>
      <c r="F568" t="s">
        <v>29</v>
      </c>
      <c r="G568" s="4" t="str">
        <f t="shared" si="19"/>
        <v>&lt;500.000</v>
      </c>
      <c r="H568" t="s">
        <v>63</v>
      </c>
      <c r="I568">
        <v>2</v>
      </c>
      <c r="J568" t="s">
        <v>48</v>
      </c>
      <c r="K568" s="5" t="s">
        <v>38</v>
      </c>
      <c r="L568" s="5" t="s">
        <v>11</v>
      </c>
      <c r="M568" s="5" t="s">
        <v>57</v>
      </c>
      <c r="N568" s="5" t="s">
        <v>58</v>
      </c>
      <c r="O568" s="5" t="s">
        <v>42</v>
      </c>
      <c r="P568" s="5" t="s">
        <v>15</v>
      </c>
      <c r="Q568" s="5" t="s">
        <v>17</v>
      </c>
      <c r="R568" s="5" t="s">
        <v>43</v>
      </c>
      <c r="S568" s="5" t="s">
        <v>21</v>
      </c>
      <c r="T568" s="6" t="s">
        <v>23</v>
      </c>
      <c r="U568" s="6">
        <v>1</v>
      </c>
      <c r="V568" s="6" t="s">
        <v>76</v>
      </c>
      <c r="W568" s="6">
        <v>1</v>
      </c>
      <c r="X568" s="6" t="s">
        <v>46</v>
      </c>
      <c r="Y568">
        <v>0</v>
      </c>
      <c r="Z568" s="5" t="s">
        <v>64</v>
      </c>
      <c r="AA568" s="5" t="s">
        <v>46</v>
      </c>
      <c r="AB568" s="5" t="s">
        <v>46</v>
      </c>
    </row>
    <row r="569" spans="1:28" x14ac:dyDescent="0.35">
      <c r="A569" s="8" t="s">
        <v>955</v>
      </c>
      <c r="B569" s="5" t="s">
        <v>634</v>
      </c>
      <c r="C569">
        <v>1999</v>
      </c>
      <c r="D569">
        <f t="shared" ca="1" si="18"/>
        <v>26</v>
      </c>
      <c r="E569" s="5" t="s">
        <v>6</v>
      </c>
      <c r="F569" t="s">
        <v>29</v>
      </c>
      <c r="G569" s="4" t="str">
        <f t="shared" si="19"/>
        <v>&lt;500.000</v>
      </c>
      <c r="H569" t="s">
        <v>63</v>
      </c>
      <c r="I569">
        <v>2</v>
      </c>
      <c r="J569" t="s">
        <v>48</v>
      </c>
      <c r="K569" s="5" t="s">
        <v>114</v>
      </c>
      <c r="L569" s="5" t="s">
        <v>11</v>
      </c>
      <c r="M569" s="5" t="s">
        <v>57</v>
      </c>
      <c r="N569" s="5" t="s">
        <v>58</v>
      </c>
      <c r="O569" s="5" t="s">
        <v>89</v>
      </c>
      <c r="P569" s="5" t="s">
        <v>15</v>
      </c>
      <c r="Q569" s="5" t="s">
        <v>17</v>
      </c>
      <c r="R569" s="5" t="s">
        <v>43</v>
      </c>
      <c r="S569" s="5" t="s">
        <v>21</v>
      </c>
      <c r="T569" s="6" t="s">
        <v>73</v>
      </c>
      <c r="U569" s="6">
        <v>0</v>
      </c>
      <c r="V569" s="6" t="s">
        <v>73</v>
      </c>
      <c r="W569" s="6">
        <v>0</v>
      </c>
      <c r="X569" s="6" t="s">
        <v>46</v>
      </c>
      <c r="Y569">
        <v>1</v>
      </c>
      <c r="Z569" s="5" t="s">
        <v>44</v>
      </c>
      <c r="AA569" s="5" t="s">
        <v>46</v>
      </c>
      <c r="AB569" s="5" t="s">
        <v>46</v>
      </c>
    </row>
    <row r="570" spans="1:28" x14ac:dyDescent="0.35">
      <c r="A570" s="8" t="s">
        <v>956</v>
      </c>
      <c r="B570" s="5" t="s">
        <v>635</v>
      </c>
      <c r="C570">
        <v>1999</v>
      </c>
      <c r="D570">
        <f t="shared" ca="1" si="18"/>
        <v>26</v>
      </c>
      <c r="E570" s="5" t="s">
        <v>28</v>
      </c>
      <c r="F570" t="s">
        <v>119</v>
      </c>
      <c r="G570" s="4" t="str">
        <f t="shared" si="19"/>
        <v>&lt;500.000</v>
      </c>
      <c r="H570" t="s">
        <v>63</v>
      </c>
      <c r="I570">
        <v>2</v>
      </c>
      <c r="J570" t="s">
        <v>48</v>
      </c>
      <c r="K570" s="5" t="s">
        <v>114</v>
      </c>
      <c r="L570" s="5" t="s">
        <v>11</v>
      </c>
      <c r="M570" s="5" t="s">
        <v>57</v>
      </c>
      <c r="N570" s="5" t="s">
        <v>58</v>
      </c>
      <c r="O570" s="5" t="s">
        <v>89</v>
      </c>
      <c r="P570" s="5" t="s">
        <v>15</v>
      </c>
      <c r="Q570" s="5" t="s">
        <v>17</v>
      </c>
      <c r="R570" s="5" t="s">
        <v>43</v>
      </c>
      <c r="S570" s="5" t="s">
        <v>21</v>
      </c>
      <c r="T570" s="6" t="s">
        <v>73</v>
      </c>
      <c r="U570" s="6">
        <v>0</v>
      </c>
      <c r="V570" s="6" t="s">
        <v>73</v>
      </c>
      <c r="W570" s="6">
        <v>0</v>
      </c>
      <c r="X570" s="6" t="s">
        <v>46</v>
      </c>
      <c r="Y570">
        <v>1</v>
      </c>
      <c r="Z570" s="5" t="s">
        <v>44</v>
      </c>
      <c r="AA570" s="5" t="s">
        <v>46</v>
      </c>
      <c r="AB570" s="5" t="s">
        <v>46</v>
      </c>
    </row>
    <row r="571" spans="1:28" x14ac:dyDescent="0.35">
      <c r="A571" s="8" t="s">
        <v>957</v>
      </c>
      <c r="B571" s="5" t="s">
        <v>636</v>
      </c>
      <c r="C571">
        <v>1971</v>
      </c>
      <c r="D571">
        <f t="shared" ca="1" si="18"/>
        <v>54</v>
      </c>
      <c r="E571" s="5" t="s">
        <v>6</v>
      </c>
      <c r="F571" t="s">
        <v>137</v>
      </c>
      <c r="G571" s="4" t="str">
        <f t="shared" si="19"/>
        <v>500.000–1.000.000</v>
      </c>
      <c r="H571" t="s">
        <v>30</v>
      </c>
      <c r="I571">
        <v>1</v>
      </c>
      <c r="J571" t="s">
        <v>72</v>
      </c>
      <c r="K571" s="5" t="s">
        <v>38</v>
      </c>
      <c r="L571" s="5" t="s">
        <v>49</v>
      </c>
      <c r="M571" s="5" t="s">
        <v>57</v>
      </c>
      <c r="N571" s="5" t="s">
        <v>58</v>
      </c>
      <c r="O571" s="5" t="s">
        <v>42</v>
      </c>
      <c r="P571" s="5" t="s">
        <v>15</v>
      </c>
      <c r="Q571" s="5" t="s">
        <v>17</v>
      </c>
      <c r="R571" s="5" t="s">
        <v>43</v>
      </c>
      <c r="S571" s="5" t="s">
        <v>21</v>
      </c>
      <c r="T571" s="6" t="s">
        <v>23</v>
      </c>
      <c r="U571" s="6">
        <v>1</v>
      </c>
      <c r="V571" s="6" t="s">
        <v>26</v>
      </c>
      <c r="W571" s="6">
        <v>1</v>
      </c>
      <c r="X571" s="6" t="s">
        <v>46</v>
      </c>
      <c r="Y571">
        <v>0</v>
      </c>
      <c r="Z571" s="5" t="s">
        <v>46</v>
      </c>
      <c r="AA571" s="5" t="s">
        <v>46</v>
      </c>
      <c r="AB571" s="5" t="s">
        <v>46</v>
      </c>
    </row>
    <row r="572" spans="1:28" x14ac:dyDescent="0.35">
      <c r="A572" s="8" t="s">
        <v>958</v>
      </c>
      <c r="B572" s="5" t="s">
        <v>637</v>
      </c>
      <c r="C572">
        <v>1974</v>
      </c>
      <c r="D572">
        <f t="shared" ca="1" si="18"/>
        <v>51</v>
      </c>
      <c r="E572" s="5" t="s">
        <v>28</v>
      </c>
      <c r="F572" t="s">
        <v>29</v>
      </c>
      <c r="G572" s="4" t="str">
        <f t="shared" si="19"/>
        <v>&lt;500.000</v>
      </c>
      <c r="H572" t="s">
        <v>30</v>
      </c>
      <c r="I572">
        <v>1</v>
      </c>
      <c r="J572" t="s">
        <v>72</v>
      </c>
      <c r="K572" s="5" t="s">
        <v>38</v>
      </c>
      <c r="L572" s="5" t="s">
        <v>49</v>
      </c>
      <c r="M572" s="5" t="s">
        <v>57</v>
      </c>
      <c r="N572" s="5" t="s">
        <v>58</v>
      </c>
      <c r="O572" s="5" t="s">
        <v>42</v>
      </c>
      <c r="P572" s="5" t="s">
        <v>15</v>
      </c>
      <c r="Q572" s="5" t="s">
        <v>17</v>
      </c>
      <c r="R572" s="5" t="s">
        <v>43</v>
      </c>
      <c r="S572" s="5" t="s">
        <v>21</v>
      </c>
      <c r="T572" s="6" t="s">
        <v>23</v>
      </c>
      <c r="U572" s="6">
        <v>1</v>
      </c>
      <c r="V572" s="6" t="s">
        <v>26</v>
      </c>
      <c r="W572" s="6">
        <v>1</v>
      </c>
      <c r="X572" s="6" t="s">
        <v>46</v>
      </c>
      <c r="Y572">
        <v>0</v>
      </c>
      <c r="Z572" s="5" t="s">
        <v>46</v>
      </c>
      <c r="AA572" s="5" t="s">
        <v>46</v>
      </c>
      <c r="AB572" s="5" t="s">
        <v>46</v>
      </c>
    </row>
    <row r="573" spans="1:28" x14ac:dyDescent="0.35">
      <c r="A573" s="8" t="s">
        <v>959</v>
      </c>
      <c r="B573" s="5" t="s">
        <v>638</v>
      </c>
      <c r="C573">
        <v>1996</v>
      </c>
      <c r="D573">
        <f t="shared" ca="1" si="18"/>
        <v>29</v>
      </c>
      <c r="E573" s="5" t="s">
        <v>6</v>
      </c>
      <c r="F573" t="s">
        <v>151</v>
      </c>
      <c r="G573" s="4" t="str">
        <f t="shared" si="19"/>
        <v>1.000.000–2.000.000</v>
      </c>
      <c r="H573" t="s">
        <v>139</v>
      </c>
      <c r="I573">
        <v>1</v>
      </c>
      <c r="J573" t="s">
        <v>48</v>
      </c>
      <c r="K573" s="5" t="s">
        <v>38</v>
      </c>
      <c r="L573" s="5" t="s">
        <v>11</v>
      </c>
      <c r="M573" s="5" t="s">
        <v>40</v>
      </c>
      <c r="N573" s="5" t="s">
        <v>37</v>
      </c>
      <c r="O573" s="5" t="s">
        <v>42</v>
      </c>
      <c r="P573" s="5" t="s">
        <v>15</v>
      </c>
      <c r="Q573" s="5" t="s">
        <v>17</v>
      </c>
      <c r="R573" s="5" t="s">
        <v>43</v>
      </c>
      <c r="S573" s="5" t="s">
        <v>21</v>
      </c>
      <c r="T573" s="6" t="s">
        <v>23</v>
      </c>
      <c r="U573" s="6">
        <v>1</v>
      </c>
      <c r="V573" s="6" t="s">
        <v>181</v>
      </c>
      <c r="W573" s="6">
        <v>1</v>
      </c>
      <c r="X573" s="6" t="s">
        <v>46</v>
      </c>
      <c r="Y573">
        <v>1</v>
      </c>
      <c r="Z573" s="5" t="s">
        <v>44</v>
      </c>
      <c r="AA573" s="5" t="s">
        <v>46</v>
      </c>
      <c r="AB573" s="5" t="s">
        <v>46</v>
      </c>
    </row>
    <row r="574" spans="1:28" x14ac:dyDescent="0.35">
      <c r="A574" s="8" t="s">
        <v>960</v>
      </c>
      <c r="B574" s="5" t="s">
        <v>639</v>
      </c>
      <c r="C574">
        <v>1998</v>
      </c>
      <c r="D574">
        <f t="shared" ca="1" si="18"/>
        <v>27</v>
      </c>
      <c r="E574" s="5" t="s">
        <v>28</v>
      </c>
      <c r="F574" t="s">
        <v>29</v>
      </c>
      <c r="G574" s="4" t="str">
        <f t="shared" si="19"/>
        <v>500.000–1.000.000</v>
      </c>
      <c r="H574" t="s">
        <v>139</v>
      </c>
      <c r="I574">
        <v>1</v>
      </c>
      <c r="J574" t="s">
        <v>48</v>
      </c>
      <c r="K574" s="5" t="s">
        <v>38</v>
      </c>
      <c r="L574" s="5" t="s">
        <v>11</v>
      </c>
      <c r="M574" s="5" t="s">
        <v>40</v>
      </c>
      <c r="N574" s="5" t="s">
        <v>37</v>
      </c>
      <c r="O574" s="5" t="s">
        <v>42</v>
      </c>
      <c r="P574" s="5" t="s">
        <v>15</v>
      </c>
      <c r="Q574" s="5" t="s">
        <v>17</v>
      </c>
      <c r="R574" s="5" t="s">
        <v>43</v>
      </c>
      <c r="S574" s="5" t="s">
        <v>21</v>
      </c>
      <c r="T574" s="6" t="s">
        <v>23</v>
      </c>
      <c r="U574" s="6">
        <v>1</v>
      </c>
      <c r="V574" s="6" t="s">
        <v>181</v>
      </c>
      <c r="W574" s="6">
        <v>1</v>
      </c>
      <c r="X574" s="6" t="s">
        <v>46</v>
      </c>
      <c r="Y574">
        <v>1</v>
      </c>
      <c r="Z574" s="5" t="s">
        <v>44</v>
      </c>
      <c r="AA574" s="5" t="s">
        <v>46</v>
      </c>
      <c r="AB574" s="5" t="s">
        <v>46</v>
      </c>
    </row>
    <row r="575" spans="1:28" x14ac:dyDescent="0.35">
      <c r="A575" s="8" t="s">
        <v>961</v>
      </c>
      <c r="B575" s="5" t="s">
        <v>640</v>
      </c>
      <c r="C575">
        <v>1969</v>
      </c>
      <c r="D575">
        <f t="shared" ca="1" si="18"/>
        <v>56</v>
      </c>
      <c r="E575" s="5" t="s">
        <v>6</v>
      </c>
      <c r="F575" t="s">
        <v>162</v>
      </c>
      <c r="G575" s="4" t="str">
        <f t="shared" si="19"/>
        <v>1.000.000–2.000.000</v>
      </c>
      <c r="H575" t="s">
        <v>7</v>
      </c>
      <c r="I575">
        <v>1</v>
      </c>
      <c r="J575" t="s">
        <v>48</v>
      </c>
      <c r="K575" s="5" t="s">
        <v>38</v>
      </c>
      <c r="L575" s="5" t="s">
        <v>49</v>
      </c>
      <c r="M575" s="5" t="s">
        <v>57</v>
      </c>
      <c r="N575" s="5" t="s">
        <v>58</v>
      </c>
      <c r="O575" s="5" t="s">
        <v>42</v>
      </c>
      <c r="P575" s="5" t="s">
        <v>15</v>
      </c>
      <c r="Q575" s="5" t="s">
        <v>17</v>
      </c>
      <c r="R575" s="5" t="s">
        <v>43</v>
      </c>
      <c r="S575" s="5" t="s">
        <v>21</v>
      </c>
      <c r="T575" s="6" t="s">
        <v>23</v>
      </c>
      <c r="U575" s="6">
        <v>1</v>
      </c>
      <c r="V575" s="6" t="s">
        <v>26</v>
      </c>
      <c r="W575" s="6">
        <v>1</v>
      </c>
      <c r="X575" s="6" t="s">
        <v>44</v>
      </c>
      <c r="Y575">
        <v>0</v>
      </c>
      <c r="Z575" s="5" t="s">
        <v>46</v>
      </c>
      <c r="AA575" s="5" t="s">
        <v>44</v>
      </c>
      <c r="AB575" s="5" t="s">
        <v>46</v>
      </c>
    </row>
    <row r="576" spans="1:28" x14ac:dyDescent="0.35">
      <c r="A576" s="8" t="s">
        <v>962</v>
      </c>
      <c r="B576" s="5" t="s">
        <v>641</v>
      </c>
      <c r="C576">
        <v>1965</v>
      </c>
      <c r="D576">
        <f t="shared" ca="1" si="18"/>
        <v>60</v>
      </c>
      <c r="E576" s="5" t="s">
        <v>28</v>
      </c>
      <c r="F576" t="s">
        <v>119</v>
      </c>
      <c r="G576" s="4" t="str">
        <f t="shared" si="19"/>
        <v>500.000–1.000.000</v>
      </c>
      <c r="H576" t="s">
        <v>7</v>
      </c>
      <c r="I576">
        <v>1</v>
      </c>
      <c r="J576" t="s">
        <v>48</v>
      </c>
      <c r="K576" s="5" t="s">
        <v>38</v>
      </c>
      <c r="L576" s="5" t="s">
        <v>49</v>
      </c>
      <c r="M576" s="5" t="s">
        <v>57</v>
      </c>
      <c r="N576" s="5" t="s">
        <v>58</v>
      </c>
      <c r="O576" s="5" t="s">
        <v>42</v>
      </c>
      <c r="P576" s="5" t="s">
        <v>15</v>
      </c>
      <c r="Q576" s="5" t="s">
        <v>17</v>
      </c>
      <c r="R576" s="5" t="s">
        <v>43</v>
      </c>
      <c r="S576" s="5" t="s">
        <v>21</v>
      </c>
      <c r="T576" s="6" t="s">
        <v>23</v>
      </c>
      <c r="U576" s="6">
        <v>1</v>
      </c>
      <c r="V576" s="6" t="s">
        <v>26</v>
      </c>
      <c r="W576" s="6">
        <v>1</v>
      </c>
      <c r="X576" s="6" t="s">
        <v>44</v>
      </c>
      <c r="Y576">
        <v>0</v>
      </c>
      <c r="Z576" s="5" t="s">
        <v>46</v>
      </c>
      <c r="AA576" s="5" t="s">
        <v>44</v>
      </c>
      <c r="AB576" s="5" t="s">
        <v>46</v>
      </c>
    </row>
    <row r="577" spans="1:28" x14ac:dyDescent="0.35">
      <c r="A577" s="8" t="s">
        <v>963</v>
      </c>
      <c r="B577" s="5" t="s">
        <v>642</v>
      </c>
      <c r="C577">
        <v>1969</v>
      </c>
      <c r="D577">
        <f t="shared" ca="1" si="18"/>
        <v>56</v>
      </c>
      <c r="E577" s="5" t="s">
        <v>6</v>
      </c>
      <c r="F577" t="s">
        <v>187</v>
      </c>
      <c r="G577" s="4" t="str">
        <f t="shared" si="19"/>
        <v>2.000.000–3.000.000</v>
      </c>
      <c r="H577" t="s">
        <v>139</v>
      </c>
      <c r="I577">
        <v>3</v>
      </c>
      <c r="J577" t="s">
        <v>8</v>
      </c>
      <c r="K577" s="5" t="s">
        <v>38</v>
      </c>
      <c r="L577" s="5" t="s">
        <v>11</v>
      </c>
      <c r="M577" s="5" t="s">
        <v>57</v>
      </c>
      <c r="N577" s="5" t="s">
        <v>58</v>
      </c>
      <c r="O577" s="5" t="s">
        <v>42</v>
      </c>
      <c r="P577" s="5" t="s">
        <v>15</v>
      </c>
      <c r="Q577" s="5" t="s">
        <v>17</v>
      </c>
      <c r="R577" s="5" t="s">
        <v>43</v>
      </c>
      <c r="S577" s="5" t="s">
        <v>21</v>
      </c>
      <c r="T577" s="6" t="s">
        <v>23</v>
      </c>
      <c r="U577" s="6">
        <v>1</v>
      </c>
      <c r="V577" s="6" t="s">
        <v>26</v>
      </c>
      <c r="W577" s="6">
        <v>1</v>
      </c>
      <c r="X577" s="6" t="s">
        <v>46</v>
      </c>
      <c r="Y577">
        <v>0</v>
      </c>
      <c r="Z577" s="5" t="s">
        <v>46</v>
      </c>
      <c r="AA577" s="5" t="s">
        <v>46</v>
      </c>
      <c r="AB577" s="5" t="s">
        <v>46</v>
      </c>
    </row>
    <row r="578" spans="1:28" x14ac:dyDescent="0.35">
      <c r="A578" s="8" t="s">
        <v>964</v>
      </c>
      <c r="B578" s="5" t="s">
        <v>643</v>
      </c>
      <c r="C578">
        <v>1991</v>
      </c>
      <c r="D578">
        <f t="shared" ca="1" si="18"/>
        <v>34</v>
      </c>
      <c r="E578" s="5" t="s">
        <v>6</v>
      </c>
      <c r="F578" t="s">
        <v>29</v>
      </c>
      <c r="G578" s="4" t="str">
        <f t="shared" si="19"/>
        <v>&lt;500.000</v>
      </c>
      <c r="H578" t="s">
        <v>63</v>
      </c>
      <c r="I578">
        <v>2</v>
      </c>
      <c r="J578" t="s">
        <v>48</v>
      </c>
      <c r="K578" s="5" t="s">
        <v>114</v>
      </c>
      <c r="L578" s="5" t="s">
        <v>11</v>
      </c>
      <c r="M578" s="5" t="s">
        <v>57</v>
      </c>
      <c r="N578" s="5" t="s">
        <v>58</v>
      </c>
      <c r="O578" s="5" t="s">
        <v>89</v>
      </c>
      <c r="P578" s="5" t="s">
        <v>15</v>
      </c>
      <c r="Q578" s="5" t="s">
        <v>17</v>
      </c>
      <c r="R578" s="5" t="s">
        <v>43</v>
      </c>
      <c r="S578" s="5" t="s">
        <v>21</v>
      </c>
      <c r="T578" s="6" t="s">
        <v>73</v>
      </c>
      <c r="U578" s="6">
        <v>0</v>
      </c>
      <c r="V578" s="6" t="s">
        <v>73</v>
      </c>
      <c r="W578" s="6">
        <v>0</v>
      </c>
      <c r="X578" s="6" t="s">
        <v>46</v>
      </c>
      <c r="Y578">
        <v>1</v>
      </c>
      <c r="Z578" s="5" t="s">
        <v>44</v>
      </c>
      <c r="AA578" s="5" t="s">
        <v>46</v>
      </c>
      <c r="AB578" s="5" t="s">
        <v>46</v>
      </c>
    </row>
    <row r="579" spans="1:28" x14ac:dyDescent="0.35">
      <c r="A579" s="8" t="s">
        <v>965</v>
      </c>
      <c r="B579" s="5" t="s">
        <v>644</v>
      </c>
      <c r="C579">
        <v>1993</v>
      </c>
      <c r="D579">
        <f t="shared" ca="1" si="18"/>
        <v>32</v>
      </c>
      <c r="E579" s="5" t="s">
        <v>28</v>
      </c>
      <c r="F579" t="s">
        <v>119</v>
      </c>
      <c r="G579" s="4" t="str">
        <f t="shared" si="19"/>
        <v>&lt;500.000</v>
      </c>
      <c r="H579" t="s">
        <v>63</v>
      </c>
      <c r="I579">
        <v>2</v>
      </c>
      <c r="J579" t="s">
        <v>48</v>
      </c>
      <c r="K579" s="5" t="s">
        <v>114</v>
      </c>
      <c r="L579" s="5" t="s">
        <v>11</v>
      </c>
      <c r="M579" s="5" t="s">
        <v>57</v>
      </c>
      <c r="N579" s="5" t="s">
        <v>58</v>
      </c>
      <c r="O579" s="5" t="s">
        <v>89</v>
      </c>
      <c r="P579" s="5" t="s">
        <v>15</v>
      </c>
      <c r="Q579" s="5" t="s">
        <v>17</v>
      </c>
      <c r="R579" s="5" t="s">
        <v>43</v>
      </c>
      <c r="S579" s="5" t="s">
        <v>21</v>
      </c>
      <c r="T579" s="6" t="s">
        <v>73</v>
      </c>
      <c r="U579" s="6">
        <v>0</v>
      </c>
      <c r="V579" s="6" t="s">
        <v>73</v>
      </c>
      <c r="W579" s="6">
        <v>0</v>
      </c>
      <c r="X579" s="6" t="s">
        <v>46</v>
      </c>
      <c r="Y579">
        <v>1</v>
      </c>
      <c r="Z579" s="5" t="s">
        <v>44</v>
      </c>
      <c r="AA579" s="5" t="s">
        <v>46</v>
      </c>
      <c r="AB579" s="5" t="s">
        <v>46</v>
      </c>
    </row>
    <row r="580" spans="1:28" x14ac:dyDescent="0.35">
      <c r="A580" s="8" t="s">
        <v>966</v>
      </c>
      <c r="B580" s="5" t="s">
        <v>645</v>
      </c>
      <c r="C580">
        <v>1974</v>
      </c>
      <c r="D580">
        <f t="shared" ca="1" si="18"/>
        <v>51</v>
      </c>
      <c r="E580" s="5" t="s">
        <v>6</v>
      </c>
      <c r="F580" t="s">
        <v>151</v>
      </c>
      <c r="G580" s="4" t="str">
        <f t="shared" si="19"/>
        <v>1.000.000–2.000.000</v>
      </c>
      <c r="H580" t="s">
        <v>139</v>
      </c>
      <c r="I580">
        <v>2</v>
      </c>
      <c r="J580" t="s">
        <v>48</v>
      </c>
      <c r="K580" s="5" t="s">
        <v>114</v>
      </c>
      <c r="L580" s="5" t="s">
        <v>11</v>
      </c>
      <c r="M580" s="5" t="s">
        <v>57</v>
      </c>
      <c r="N580" s="5" t="s">
        <v>58</v>
      </c>
      <c r="O580" s="5" t="s">
        <v>42</v>
      </c>
      <c r="P580" s="5" t="s">
        <v>15</v>
      </c>
      <c r="Q580" s="5" t="s">
        <v>17</v>
      </c>
      <c r="R580" s="5" t="s">
        <v>43</v>
      </c>
      <c r="S580" s="5" t="s">
        <v>21</v>
      </c>
      <c r="T580" s="6" t="s">
        <v>23</v>
      </c>
      <c r="U580" s="6">
        <v>1</v>
      </c>
      <c r="V580" s="6" t="s">
        <v>76</v>
      </c>
      <c r="W580" s="6">
        <v>1</v>
      </c>
      <c r="X580" s="6" t="s">
        <v>46</v>
      </c>
      <c r="Y580">
        <v>0</v>
      </c>
      <c r="Z580" s="5" t="s">
        <v>46</v>
      </c>
      <c r="AA580" s="5" t="s">
        <v>46</v>
      </c>
      <c r="AB580" s="5" t="s">
        <v>46</v>
      </c>
    </row>
    <row r="581" spans="1:28" x14ac:dyDescent="0.35">
      <c r="A581" s="8" t="s">
        <v>967</v>
      </c>
      <c r="B581" s="5" t="s">
        <v>646</v>
      </c>
      <c r="C581">
        <v>1974</v>
      </c>
      <c r="D581">
        <f t="shared" ca="1" si="18"/>
        <v>51</v>
      </c>
      <c r="E581" s="5" t="s">
        <v>28</v>
      </c>
      <c r="F581" t="s">
        <v>29</v>
      </c>
      <c r="G581" s="4" t="str">
        <f t="shared" si="19"/>
        <v>500.000–1.000.000</v>
      </c>
      <c r="H581" t="s">
        <v>7</v>
      </c>
      <c r="I581">
        <v>2</v>
      </c>
      <c r="J581" t="s">
        <v>48</v>
      </c>
      <c r="K581" s="5" t="s">
        <v>114</v>
      </c>
      <c r="L581" s="5" t="s">
        <v>11</v>
      </c>
      <c r="M581" s="5" t="s">
        <v>57</v>
      </c>
      <c r="N581" s="5" t="s">
        <v>58</v>
      </c>
      <c r="O581" s="5" t="s">
        <v>42</v>
      </c>
      <c r="P581" s="5" t="s">
        <v>15</v>
      </c>
      <c r="Q581" s="5" t="s">
        <v>17</v>
      </c>
      <c r="R581" s="5" t="s">
        <v>43</v>
      </c>
      <c r="S581" s="5" t="s">
        <v>21</v>
      </c>
      <c r="T581" s="6" t="s">
        <v>23</v>
      </c>
      <c r="U581" s="6">
        <v>1</v>
      </c>
      <c r="V581" s="6" t="s">
        <v>76</v>
      </c>
      <c r="W581" s="6">
        <v>1</v>
      </c>
      <c r="X581" s="6" t="s">
        <v>46</v>
      </c>
      <c r="Y581">
        <v>0</v>
      </c>
      <c r="Z581" s="5" t="s">
        <v>46</v>
      </c>
      <c r="AA581" s="5" t="s">
        <v>46</v>
      </c>
      <c r="AB581" s="5" t="s">
        <v>46</v>
      </c>
    </row>
    <row r="582" spans="1:28" x14ac:dyDescent="0.35">
      <c r="A582" s="8" t="s">
        <v>968</v>
      </c>
      <c r="B582" s="5" t="s">
        <v>647</v>
      </c>
      <c r="C582">
        <v>1942</v>
      </c>
      <c r="D582">
        <f t="shared" ca="1" si="18"/>
        <v>83</v>
      </c>
      <c r="E582" s="5" t="s">
        <v>6</v>
      </c>
      <c r="F582" t="s">
        <v>29</v>
      </c>
      <c r="G582" s="4" t="str">
        <f t="shared" si="19"/>
        <v>&lt;500.000</v>
      </c>
      <c r="H582" t="s">
        <v>63</v>
      </c>
      <c r="I582">
        <v>2</v>
      </c>
      <c r="J582" t="s">
        <v>8</v>
      </c>
      <c r="K582" s="5" t="s">
        <v>114</v>
      </c>
      <c r="L582" s="5" t="s">
        <v>11</v>
      </c>
      <c r="M582" s="5" t="s">
        <v>57</v>
      </c>
      <c r="N582" s="5" t="s">
        <v>58</v>
      </c>
      <c r="O582" s="5" t="s">
        <v>42</v>
      </c>
      <c r="P582" s="5" t="s">
        <v>15</v>
      </c>
      <c r="Q582" s="5" t="s">
        <v>17</v>
      </c>
      <c r="R582" s="5" t="s">
        <v>43</v>
      </c>
      <c r="S582" s="5" t="s">
        <v>21</v>
      </c>
      <c r="T582" s="6" t="s">
        <v>23</v>
      </c>
      <c r="U582" s="6">
        <v>1</v>
      </c>
      <c r="V582" s="6" t="s">
        <v>76</v>
      </c>
      <c r="W582" s="6">
        <v>1</v>
      </c>
      <c r="X582" s="6" t="s">
        <v>46</v>
      </c>
      <c r="Y582">
        <v>0</v>
      </c>
      <c r="Z582" s="5" t="s">
        <v>46</v>
      </c>
      <c r="AA582" s="5" t="s">
        <v>64</v>
      </c>
      <c r="AB582" s="5" t="s">
        <v>46</v>
      </c>
    </row>
    <row r="583" spans="1:28" x14ac:dyDescent="0.35">
      <c r="A583" s="8" t="s">
        <v>969</v>
      </c>
      <c r="B583" s="5" t="s">
        <v>648</v>
      </c>
      <c r="C583">
        <v>1965</v>
      </c>
      <c r="D583">
        <f t="shared" ca="1" si="18"/>
        <v>60</v>
      </c>
      <c r="E583" s="5" t="s">
        <v>28</v>
      </c>
      <c r="F583" t="s">
        <v>29</v>
      </c>
      <c r="G583" s="4" t="str">
        <f t="shared" si="19"/>
        <v>&lt;500.000</v>
      </c>
      <c r="H583" t="s">
        <v>30</v>
      </c>
      <c r="I583">
        <v>2</v>
      </c>
      <c r="J583" t="s">
        <v>8</v>
      </c>
      <c r="K583" s="5" t="s">
        <v>114</v>
      </c>
      <c r="L583" s="5" t="s">
        <v>11</v>
      </c>
      <c r="M583" s="5" t="s">
        <v>57</v>
      </c>
      <c r="N583" s="5" t="s">
        <v>58</v>
      </c>
      <c r="O583" s="5" t="s">
        <v>42</v>
      </c>
      <c r="P583" s="5" t="s">
        <v>15</v>
      </c>
      <c r="Q583" s="5" t="s">
        <v>17</v>
      </c>
      <c r="R583" s="5" t="s">
        <v>43</v>
      </c>
      <c r="S583" s="5" t="s">
        <v>21</v>
      </c>
      <c r="T583" s="6" t="s">
        <v>23</v>
      </c>
      <c r="U583" s="6">
        <v>1</v>
      </c>
      <c r="V583" s="6" t="s">
        <v>76</v>
      </c>
      <c r="W583" s="6">
        <v>1</v>
      </c>
      <c r="X583" s="6" t="s">
        <v>46</v>
      </c>
      <c r="Y583">
        <v>0</v>
      </c>
      <c r="Z583" s="5" t="s">
        <v>46</v>
      </c>
      <c r="AA583" s="5" t="s">
        <v>64</v>
      </c>
      <c r="AB583" s="5" t="s">
        <v>46</v>
      </c>
    </row>
    <row r="584" spans="1:28" x14ac:dyDescent="0.35">
      <c r="A584" s="8" t="s">
        <v>970</v>
      </c>
      <c r="B584" s="5" t="s">
        <v>288</v>
      </c>
      <c r="C584">
        <v>1974</v>
      </c>
      <c r="D584">
        <f t="shared" ca="1" si="18"/>
        <v>51</v>
      </c>
      <c r="E584" s="5" t="s">
        <v>6</v>
      </c>
      <c r="F584" t="s">
        <v>137</v>
      </c>
      <c r="G584" s="4" t="str">
        <f t="shared" si="19"/>
        <v>500.000–1.000.000</v>
      </c>
      <c r="H584" t="s">
        <v>7</v>
      </c>
      <c r="I584">
        <v>2</v>
      </c>
      <c r="J584" t="s">
        <v>8</v>
      </c>
      <c r="K584" s="5" t="s">
        <v>38</v>
      </c>
      <c r="L584" s="5" t="s">
        <v>11</v>
      </c>
      <c r="M584" s="5" t="s">
        <v>40</v>
      </c>
      <c r="N584" s="5" t="s">
        <v>37</v>
      </c>
      <c r="O584" s="5" t="s">
        <v>42</v>
      </c>
      <c r="P584" s="5" t="s">
        <v>15</v>
      </c>
      <c r="Q584" s="5" t="s">
        <v>17</v>
      </c>
      <c r="R584" s="5" t="s">
        <v>87</v>
      </c>
      <c r="S584" s="5" t="s">
        <v>21</v>
      </c>
      <c r="T584" s="6" t="s">
        <v>23</v>
      </c>
      <c r="U584" s="6">
        <v>1</v>
      </c>
      <c r="V584" s="6" t="s">
        <v>26</v>
      </c>
      <c r="W584" s="6">
        <v>1</v>
      </c>
      <c r="X584" s="6" t="s">
        <v>60</v>
      </c>
      <c r="Y584">
        <v>1</v>
      </c>
      <c r="Z584" s="5" t="s">
        <v>44</v>
      </c>
      <c r="AA584" s="5" t="s">
        <v>46</v>
      </c>
      <c r="AB584" s="5" t="s">
        <v>46</v>
      </c>
    </row>
    <row r="585" spans="1:28" x14ac:dyDescent="0.35">
      <c r="A585" s="8" t="s">
        <v>971</v>
      </c>
      <c r="B585" s="5" t="s">
        <v>649</v>
      </c>
      <c r="C585">
        <v>1983</v>
      </c>
      <c r="D585">
        <f t="shared" ca="1" si="18"/>
        <v>42</v>
      </c>
      <c r="E585" s="5" t="s">
        <v>28</v>
      </c>
      <c r="F585" t="s">
        <v>29</v>
      </c>
      <c r="G585" s="4" t="str">
        <f t="shared" si="19"/>
        <v>500.000–1.000.000</v>
      </c>
      <c r="H585" t="s">
        <v>7</v>
      </c>
      <c r="I585">
        <v>2</v>
      </c>
      <c r="J585" t="s">
        <v>8</v>
      </c>
      <c r="K585" s="5" t="s">
        <v>38</v>
      </c>
      <c r="L585" s="5" t="s">
        <v>11</v>
      </c>
      <c r="M585" s="5" t="s">
        <v>40</v>
      </c>
      <c r="N585" s="5" t="s">
        <v>37</v>
      </c>
      <c r="O585" s="5" t="s">
        <v>42</v>
      </c>
      <c r="P585" s="5" t="s">
        <v>15</v>
      </c>
      <c r="Q585" s="5" t="s">
        <v>17</v>
      </c>
      <c r="R585" s="5" t="s">
        <v>87</v>
      </c>
      <c r="S585" s="5" t="s">
        <v>21</v>
      </c>
      <c r="T585" s="6" t="s">
        <v>23</v>
      </c>
      <c r="U585" s="6">
        <v>1</v>
      </c>
      <c r="V585" s="6" t="s">
        <v>26</v>
      </c>
      <c r="W585" s="6">
        <v>1</v>
      </c>
      <c r="X585" s="6" t="s">
        <v>60</v>
      </c>
      <c r="Y585">
        <v>1</v>
      </c>
      <c r="Z585" s="5" t="s">
        <v>44</v>
      </c>
      <c r="AA585" s="5" t="s">
        <v>46</v>
      </c>
      <c r="AB585" s="5" t="s">
        <v>46</v>
      </c>
    </row>
    <row r="586" spans="1:28" x14ac:dyDescent="0.35">
      <c r="A586" s="8" t="s">
        <v>972</v>
      </c>
      <c r="B586" s="5" t="s">
        <v>650</v>
      </c>
      <c r="C586">
        <v>1975</v>
      </c>
      <c r="D586">
        <f t="shared" ca="1" si="18"/>
        <v>50</v>
      </c>
      <c r="E586" s="5" t="s">
        <v>6</v>
      </c>
      <c r="F586" t="s">
        <v>29</v>
      </c>
      <c r="G586" s="4" t="str">
        <f t="shared" si="19"/>
        <v>500.000–1.000.000</v>
      </c>
      <c r="H586" t="s">
        <v>139</v>
      </c>
      <c r="I586">
        <v>2</v>
      </c>
      <c r="J586" t="s">
        <v>8</v>
      </c>
      <c r="K586" s="5" t="s">
        <v>114</v>
      </c>
      <c r="L586" s="5" t="s">
        <v>11</v>
      </c>
      <c r="M586" s="5" t="s">
        <v>57</v>
      </c>
      <c r="N586" s="5" t="s">
        <v>58</v>
      </c>
      <c r="O586" s="5" t="s">
        <v>42</v>
      </c>
      <c r="P586" s="5" t="s">
        <v>15</v>
      </c>
      <c r="Q586" s="5" t="s">
        <v>17</v>
      </c>
      <c r="R586" s="5" t="s">
        <v>43</v>
      </c>
      <c r="S586" s="5" t="s">
        <v>21</v>
      </c>
      <c r="T586" s="6" t="s">
        <v>23</v>
      </c>
      <c r="U586" s="6">
        <v>1</v>
      </c>
      <c r="V586" s="6" t="s">
        <v>26</v>
      </c>
      <c r="W586" s="6">
        <v>1</v>
      </c>
      <c r="X586" s="6" t="s">
        <v>46</v>
      </c>
      <c r="Y586">
        <v>0</v>
      </c>
      <c r="Z586" s="5" t="s">
        <v>46</v>
      </c>
      <c r="AA586" s="5" t="s">
        <v>46</v>
      </c>
      <c r="AB586" s="5" t="s">
        <v>46</v>
      </c>
    </row>
    <row r="587" spans="1:28" x14ac:dyDescent="0.35">
      <c r="A587" s="8" t="s">
        <v>973</v>
      </c>
      <c r="B587" s="5" t="s">
        <v>651</v>
      </c>
      <c r="C587">
        <v>1978</v>
      </c>
      <c r="D587">
        <f t="shared" ca="1" si="18"/>
        <v>47</v>
      </c>
      <c r="E587" s="5" t="s">
        <v>6</v>
      </c>
      <c r="F587" t="s">
        <v>162</v>
      </c>
      <c r="G587" s="4" t="str">
        <f t="shared" si="19"/>
        <v>1.000.000–2.000.000</v>
      </c>
      <c r="H587" t="s">
        <v>7</v>
      </c>
      <c r="I587">
        <v>3</v>
      </c>
      <c r="J587" t="s">
        <v>8</v>
      </c>
      <c r="K587" s="5" t="s">
        <v>114</v>
      </c>
      <c r="L587" s="5" t="s">
        <v>11</v>
      </c>
      <c r="M587" s="5" t="s">
        <v>57</v>
      </c>
      <c r="N587" s="5" t="s">
        <v>58</v>
      </c>
      <c r="O587" s="5" t="s">
        <v>42</v>
      </c>
      <c r="P587" s="5" t="s">
        <v>15</v>
      </c>
      <c r="Q587" s="5" t="s">
        <v>17</v>
      </c>
      <c r="R587" s="5" t="s">
        <v>43</v>
      </c>
      <c r="S587" s="5" t="s">
        <v>21</v>
      </c>
      <c r="T587" s="6" t="s">
        <v>23</v>
      </c>
      <c r="U587" s="6">
        <v>1</v>
      </c>
      <c r="V587" s="6" t="s">
        <v>181</v>
      </c>
      <c r="W587" s="6">
        <v>1</v>
      </c>
      <c r="X587" s="6" t="s">
        <v>44</v>
      </c>
      <c r="Y587">
        <v>1</v>
      </c>
      <c r="Z587" s="5" t="s">
        <v>46</v>
      </c>
      <c r="AA587" s="5" t="s">
        <v>46</v>
      </c>
      <c r="AB587" s="5" t="s">
        <v>46</v>
      </c>
    </row>
    <row r="588" spans="1:28" x14ac:dyDescent="0.35">
      <c r="A588" s="8" t="s">
        <v>974</v>
      </c>
      <c r="B588" s="5" t="s">
        <v>652</v>
      </c>
      <c r="C588">
        <v>1981</v>
      </c>
      <c r="D588">
        <f t="shared" ca="1" si="18"/>
        <v>44</v>
      </c>
      <c r="E588" s="5" t="s">
        <v>6</v>
      </c>
      <c r="F588" t="s">
        <v>151</v>
      </c>
      <c r="G588" s="4" t="str">
        <f t="shared" si="19"/>
        <v>1.000.000–2.000.000</v>
      </c>
      <c r="H588" t="s">
        <v>139</v>
      </c>
      <c r="I588">
        <v>3</v>
      </c>
      <c r="J588" t="s">
        <v>48</v>
      </c>
      <c r="K588" s="5" t="s">
        <v>38</v>
      </c>
      <c r="L588" s="5" t="s">
        <v>11</v>
      </c>
      <c r="M588" s="5" t="s">
        <v>57</v>
      </c>
      <c r="N588" s="5" t="s">
        <v>58</v>
      </c>
      <c r="O588" s="5" t="s">
        <v>42</v>
      </c>
      <c r="P588" s="5" t="s">
        <v>15</v>
      </c>
      <c r="Q588" s="5" t="s">
        <v>17</v>
      </c>
      <c r="R588" s="5" t="s">
        <v>43</v>
      </c>
      <c r="S588" s="5" t="s">
        <v>21</v>
      </c>
      <c r="T588" s="6" t="s">
        <v>23</v>
      </c>
      <c r="U588" s="6">
        <v>1</v>
      </c>
      <c r="V588" s="6" t="s">
        <v>26</v>
      </c>
      <c r="W588" s="6">
        <v>1</v>
      </c>
      <c r="X588" s="6" t="s">
        <v>46</v>
      </c>
      <c r="Y588">
        <v>2</v>
      </c>
      <c r="Z588" s="5" t="s">
        <v>46</v>
      </c>
      <c r="AA588" s="5" t="s">
        <v>46</v>
      </c>
      <c r="AB588" s="5" t="s">
        <v>74</v>
      </c>
    </row>
    <row r="589" spans="1:28" x14ac:dyDescent="0.35">
      <c r="A589" s="8" t="s">
        <v>975</v>
      </c>
      <c r="B589" s="5" t="s">
        <v>653</v>
      </c>
      <c r="C589">
        <v>1984</v>
      </c>
      <c r="D589">
        <f t="shared" ca="1" si="18"/>
        <v>41</v>
      </c>
      <c r="E589" s="5" t="s">
        <v>28</v>
      </c>
      <c r="F589" t="s">
        <v>151</v>
      </c>
      <c r="G589" s="4" t="str">
        <f t="shared" si="19"/>
        <v>500.000–1.000.000</v>
      </c>
      <c r="H589" t="s">
        <v>7</v>
      </c>
      <c r="I589">
        <v>3</v>
      </c>
      <c r="J589" t="s">
        <v>48</v>
      </c>
      <c r="K589" s="5" t="s">
        <v>38</v>
      </c>
      <c r="L589" s="5" t="s">
        <v>11</v>
      </c>
      <c r="M589" s="5" t="s">
        <v>57</v>
      </c>
      <c r="N589" s="5" t="s">
        <v>58</v>
      </c>
      <c r="O589" s="5" t="s">
        <v>42</v>
      </c>
      <c r="P589" s="5" t="s">
        <v>15</v>
      </c>
      <c r="Q589" s="5" t="s">
        <v>17</v>
      </c>
      <c r="R589" s="5" t="s">
        <v>43</v>
      </c>
      <c r="S589" s="5" t="s">
        <v>21</v>
      </c>
      <c r="T589" s="6" t="s">
        <v>23</v>
      </c>
      <c r="U589" s="6">
        <v>1</v>
      </c>
      <c r="V589" s="6" t="s">
        <v>26</v>
      </c>
      <c r="W589" s="6">
        <v>1</v>
      </c>
      <c r="X589" s="6" t="s">
        <v>46</v>
      </c>
      <c r="Y589">
        <v>2</v>
      </c>
      <c r="Z589" s="5" t="s">
        <v>46</v>
      </c>
      <c r="AA589" s="5" t="s">
        <v>46</v>
      </c>
      <c r="AB589" s="5" t="s">
        <v>74</v>
      </c>
    </row>
    <row r="590" spans="1:28" x14ac:dyDescent="0.35">
      <c r="A590" s="8" t="s">
        <v>976</v>
      </c>
      <c r="B590" s="5" t="s">
        <v>654</v>
      </c>
      <c r="C590">
        <v>1971</v>
      </c>
      <c r="D590">
        <f t="shared" ca="1" si="18"/>
        <v>54</v>
      </c>
      <c r="E590" s="5" t="s">
        <v>6</v>
      </c>
      <c r="F590" t="s">
        <v>29</v>
      </c>
      <c r="G590" s="4" t="str">
        <f t="shared" si="19"/>
        <v>&lt;500.000</v>
      </c>
      <c r="H590" t="s">
        <v>63</v>
      </c>
      <c r="I590">
        <v>0</v>
      </c>
      <c r="J590" t="s">
        <v>48</v>
      </c>
      <c r="K590" s="5" t="s">
        <v>114</v>
      </c>
      <c r="L590" s="5" t="s">
        <v>11</v>
      </c>
      <c r="M590" s="5" t="s">
        <v>57</v>
      </c>
      <c r="N590" s="5" t="s">
        <v>58</v>
      </c>
      <c r="O590" s="5" t="s">
        <v>89</v>
      </c>
      <c r="P590" s="5" t="s">
        <v>15</v>
      </c>
      <c r="Q590" s="5" t="s">
        <v>17</v>
      </c>
      <c r="R590" s="5" t="s">
        <v>43</v>
      </c>
      <c r="S590" s="5" t="s">
        <v>21</v>
      </c>
      <c r="T590" s="6" t="s">
        <v>73</v>
      </c>
      <c r="U590" s="6">
        <v>0</v>
      </c>
      <c r="V590" s="6" t="s">
        <v>73</v>
      </c>
      <c r="W590" s="6">
        <v>0</v>
      </c>
      <c r="X590" s="6" t="s">
        <v>46</v>
      </c>
      <c r="Y590">
        <v>0</v>
      </c>
      <c r="Z590" s="5" t="s">
        <v>46</v>
      </c>
      <c r="AA590" s="5" t="s">
        <v>46</v>
      </c>
      <c r="AB590" s="5" t="s">
        <v>46</v>
      </c>
    </row>
    <row r="591" spans="1:28" x14ac:dyDescent="0.35">
      <c r="A591" s="8" t="s">
        <v>977</v>
      </c>
      <c r="B591" s="5" t="s">
        <v>655</v>
      </c>
      <c r="C591">
        <v>1949</v>
      </c>
      <c r="D591">
        <f t="shared" ca="1" si="18"/>
        <v>76</v>
      </c>
      <c r="E591" s="5" t="s">
        <v>6</v>
      </c>
      <c r="F591" t="s">
        <v>29</v>
      </c>
      <c r="G591" s="4" t="str">
        <f t="shared" si="19"/>
        <v>&lt;500.000</v>
      </c>
      <c r="H591" t="s">
        <v>30</v>
      </c>
      <c r="I591">
        <v>0</v>
      </c>
      <c r="J591" t="s">
        <v>8</v>
      </c>
      <c r="K591" s="5" t="s">
        <v>10</v>
      </c>
      <c r="L591" s="5" t="s">
        <v>11</v>
      </c>
      <c r="M591" s="5" t="s">
        <v>40</v>
      </c>
      <c r="N591" s="5" t="s">
        <v>37</v>
      </c>
      <c r="O591" s="5" t="s">
        <v>42</v>
      </c>
      <c r="P591" s="5" t="s">
        <v>15</v>
      </c>
      <c r="Q591" s="5" t="s">
        <v>17</v>
      </c>
      <c r="R591" s="5" t="s">
        <v>43</v>
      </c>
      <c r="S591" s="5" t="s">
        <v>21</v>
      </c>
      <c r="T591" s="6" t="s">
        <v>73</v>
      </c>
      <c r="U591" s="6">
        <v>0</v>
      </c>
      <c r="V591" s="6" t="s">
        <v>117</v>
      </c>
      <c r="W591" s="6">
        <v>1</v>
      </c>
      <c r="X591" s="6" t="s">
        <v>46</v>
      </c>
      <c r="Y591">
        <v>0</v>
      </c>
      <c r="Z591" s="5" t="s">
        <v>46</v>
      </c>
      <c r="AA591" s="5" t="s">
        <v>44</v>
      </c>
      <c r="AB591" s="5" t="s">
        <v>35</v>
      </c>
    </row>
    <row r="592" spans="1:28" x14ac:dyDescent="0.35">
      <c r="A592" s="8" t="s">
        <v>978</v>
      </c>
      <c r="B592" s="5" t="s">
        <v>656</v>
      </c>
      <c r="C592">
        <v>1992</v>
      </c>
      <c r="D592">
        <f t="shared" ca="1" si="18"/>
        <v>33</v>
      </c>
      <c r="E592" s="5" t="s">
        <v>6</v>
      </c>
      <c r="F592" t="s">
        <v>54</v>
      </c>
      <c r="G592" s="4" t="str">
        <f t="shared" si="19"/>
        <v>1.000.000–2.000.000</v>
      </c>
      <c r="H592" t="s">
        <v>139</v>
      </c>
      <c r="I592">
        <v>1</v>
      </c>
      <c r="J592" t="s">
        <v>48</v>
      </c>
      <c r="K592" s="5" t="s">
        <v>114</v>
      </c>
      <c r="L592" s="5" t="s">
        <v>11</v>
      </c>
      <c r="M592" s="5" t="s">
        <v>57</v>
      </c>
      <c r="N592" s="5" t="s">
        <v>58</v>
      </c>
      <c r="O592" s="5" t="s">
        <v>42</v>
      </c>
      <c r="P592" s="5" t="s">
        <v>15</v>
      </c>
      <c r="Q592" s="5" t="s">
        <v>17</v>
      </c>
      <c r="R592" s="5" t="s">
        <v>43</v>
      </c>
      <c r="S592" s="5" t="s">
        <v>21</v>
      </c>
      <c r="T592" s="6" t="s">
        <v>23</v>
      </c>
      <c r="U592" s="6">
        <v>1</v>
      </c>
      <c r="V592" s="6" t="s">
        <v>26</v>
      </c>
      <c r="W592" s="6">
        <v>1</v>
      </c>
      <c r="X592" s="6" t="s">
        <v>46</v>
      </c>
      <c r="Y592">
        <v>0</v>
      </c>
      <c r="Z592" s="5" t="s">
        <v>44</v>
      </c>
      <c r="AA592" s="5" t="s">
        <v>46</v>
      </c>
      <c r="AB592" s="5" t="s">
        <v>46</v>
      </c>
    </row>
    <row r="593" spans="1:28" x14ac:dyDescent="0.35">
      <c r="A593" s="8" t="s">
        <v>979</v>
      </c>
      <c r="B593" s="5" t="s">
        <v>657</v>
      </c>
      <c r="C593">
        <v>1992</v>
      </c>
      <c r="D593">
        <f t="shared" ca="1" si="18"/>
        <v>33</v>
      </c>
      <c r="E593" s="5" t="s">
        <v>28</v>
      </c>
      <c r="F593" t="s">
        <v>29</v>
      </c>
      <c r="G593" s="4" t="str">
        <f t="shared" si="19"/>
        <v>500.000–1.000.000</v>
      </c>
      <c r="H593" t="s">
        <v>139</v>
      </c>
      <c r="I593">
        <v>1</v>
      </c>
      <c r="J593" t="s">
        <v>48</v>
      </c>
      <c r="K593" s="5" t="s">
        <v>114</v>
      </c>
      <c r="L593" s="5" t="s">
        <v>11</v>
      </c>
      <c r="M593" s="5" t="s">
        <v>57</v>
      </c>
      <c r="N593" s="5" t="s">
        <v>58</v>
      </c>
      <c r="O593" s="5" t="s">
        <v>42</v>
      </c>
      <c r="P593" s="5" t="s">
        <v>15</v>
      </c>
      <c r="Q593" s="5" t="s">
        <v>17</v>
      </c>
      <c r="R593" s="5" t="s">
        <v>43</v>
      </c>
      <c r="S593" s="5" t="s">
        <v>21</v>
      </c>
      <c r="T593" s="6" t="s">
        <v>23</v>
      </c>
      <c r="U593" s="6">
        <v>1</v>
      </c>
      <c r="V593" s="6" t="s">
        <v>26</v>
      </c>
      <c r="W593" s="6">
        <v>1</v>
      </c>
      <c r="X593" s="6" t="s">
        <v>46</v>
      </c>
      <c r="Y593">
        <v>0</v>
      </c>
      <c r="Z593" s="5" t="s">
        <v>44</v>
      </c>
      <c r="AA593" s="5" t="s">
        <v>46</v>
      </c>
      <c r="AB593" s="5" t="s">
        <v>46</v>
      </c>
    </row>
    <row r="594" spans="1:28" x14ac:dyDescent="0.35">
      <c r="A594" s="8" t="s">
        <v>980</v>
      </c>
      <c r="B594" s="5" t="s">
        <v>658</v>
      </c>
      <c r="C594">
        <v>1995</v>
      </c>
      <c r="D594">
        <f t="shared" ca="1" si="18"/>
        <v>30</v>
      </c>
      <c r="E594" s="5" t="s">
        <v>6</v>
      </c>
      <c r="F594" t="s">
        <v>137</v>
      </c>
      <c r="G594" s="4" t="str">
        <f t="shared" si="19"/>
        <v>1.000.000–2.000.000</v>
      </c>
      <c r="H594" t="s">
        <v>139</v>
      </c>
      <c r="I594">
        <v>1</v>
      </c>
      <c r="J594" t="s">
        <v>48</v>
      </c>
      <c r="K594" s="5" t="s">
        <v>38</v>
      </c>
      <c r="L594" s="5" t="s">
        <v>11</v>
      </c>
      <c r="M594" s="5" t="s">
        <v>40</v>
      </c>
      <c r="N594" s="5" t="s">
        <v>37</v>
      </c>
      <c r="O594" s="5" t="s">
        <v>42</v>
      </c>
      <c r="P594" s="5" t="s">
        <v>15</v>
      </c>
      <c r="Q594" s="5" t="s">
        <v>17</v>
      </c>
      <c r="R594" s="5" t="s">
        <v>87</v>
      </c>
      <c r="S594" s="5" t="s">
        <v>21</v>
      </c>
      <c r="T594" s="6" t="s">
        <v>23</v>
      </c>
      <c r="U594" s="6">
        <v>1</v>
      </c>
      <c r="V594" s="6" t="s">
        <v>76</v>
      </c>
      <c r="W594" s="6">
        <v>1</v>
      </c>
      <c r="X594" s="6" t="s">
        <v>60</v>
      </c>
      <c r="Y594">
        <v>0</v>
      </c>
      <c r="Z594" s="5" t="s">
        <v>44</v>
      </c>
      <c r="AA594" s="5" t="s">
        <v>46</v>
      </c>
      <c r="AB594" s="5" t="s">
        <v>46</v>
      </c>
    </row>
    <row r="595" spans="1:28" x14ac:dyDescent="0.35">
      <c r="A595" s="8" t="s">
        <v>981</v>
      </c>
      <c r="B595" s="5" t="s">
        <v>659</v>
      </c>
      <c r="C595">
        <v>1996</v>
      </c>
      <c r="D595">
        <f t="shared" ca="1" si="18"/>
        <v>29</v>
      </c>
      <c r="E595" s="5" t="s">
        <v>28</v>
      </c>
      <c r="F595" t="s">
        <v>137</v>
      </c>
      <c r="G595" s="4" t="str">
        <f t="shared" si="19"/>
        <v>1.000.000–2.000.000</v>
      </c>
      <c r="H595" t="s">
        <v>139</v>
      </c>
      <c r="I595">
        <v>1</v>
      </c>
      <c r="J595" t="s">
        <v>48</v>
      </c>
      <c r="K595" s="5" t="s">
        <v>38</v>
      </c>
      <c r="L595" s="5" t="s">
        <v>11</v>
      </c>
      <c r="M595" s="5" t="s">
        <v>40</v>
      </c>
      <c r="N595" s="5" t="s">
        <v>37</v>
      </c>
      <c r="O595" s="5" t="s">
        <v>42</v>
      </c>
      <c r="P595" s="5" t="s">
        <v>15</v>
      </c>
      <c r="Q595" s="5" t="s">
        <v>17</v>
      </c>
      <c r="R595" s="5" t="s">
        <v>87</v>
      </c>
      <c r="S595" s="5" t="s">
        <v>21</v>
      </c>
      <c r="T595" s="6" t="s">
        <v>23</v>
      </c>
      <c r="U595" s="6">
        <v>1</v>
      </c>
      <c r="V595" s="6" t="s">
        <v>76</v>
      </c>
      <c r="W595" s="6">
        <v>1</v>
      </c>
      <c r="X595" s="6" t="s">
        <v>60</v>
      </c>
      <c r="Y595">
        <v>0</v>
      </c>
      <c r="Z595" s="5" t="s">
        <v>44</v>
      </c>
      <c r="AA595" s="5" t="s">
        <v>46</v>
      </c>
      <c r="AB595" s="5" t="s">
        <v>46</v>
      </c>
    </row>
    <row r="596" spans="1:28" x14ac:dyDescent="0.35">
      <c r="A596" s="8" t="s">
        <v>982</v>
      </c>
      <c r="B596" s="5" t="s">
        <v>660</v>
      </c>
      <c r="C596">
        <v>1990</v>
      </c>
      <c r="D596">
        <f t="shared" ca="1" si="18"/>
        <v>35</v>
      </c>
      <c r="E596" s="5" t="s">
        <v>6</v>
      </c>
      <c r="F596" t="s">
        <v>54</v>
      </c>
      <c r="G596" s="4" t="str">
        <f t="shared" si="19"/>
        <v>1.000.000–2.000.000</v>
      </c>
      <c r="H596" t="s">
        <v>139</v>
      </c>
      <c r="I596">
        <v>3</v>
      </c>
      <c r="J596" t="s">
        <v>8</v>
      </c>
      <c r="K596" s="5" t="s">
        <v>38</v>
      </c>
      <c r="L596" s="5" t="s">
        <v>49</v>
      </c>
      <c r="M596" s="5" t="s">
        <v>57</v>
      </c>
      <c r="N596" s="5" t="s">
        <v>58</v>
      </c>
      <c r="O596" s="5" t="s">
        <v>42</v>
      </c>
      <c r="P596" s="5" t="s">
        <v>15</v>
      </c>
      <c r="Q596" s="5" t="s">
        <v>17</v>
      </c>
      <c r="R596" s="5" t="s">
        <v>43</v>
      </c>
      <c r="S596" s="5" t="s">
        <v>21</v>
      </c>
      <c r="T596" s="6" t="s">
        <v>23</v>
      </c>
      <c r="U596" s="6">
        <v>1</v>
      </c>
      <c r="V596" s="6" t="s">
        <v>26</v>
      </c>
      <c r="W596" s="6">
        <v>1</v>
      </c>
      <c r="X596" s="6" t="s">
        <v>44</v>
      </c>
      <c r="Y596">
        <v>2</v>
      </c>
      <c r="Z596" s="5" t="s">
        <v>44</v>
      </c>
      <c r="AA596" s="5" t="s">
        <v>46</v>
      </c>
      <c r="AB596" s="5" t="s">
        <v>46</v>
      </c>
    </row>
    <row r="597" spans="1:28" x14ac:dyDescent="0.35">
      <c r="A597" s="8" t="s">
        <v>983</v>
      </c>
      <c r="B597" s="5" t="s">
        <v>661</v>
      </c>
      <c r="C597">
        <v>1991</v>
      </c>
      <c r="D597">
        <f t="shared" ca="1" si="18"/>
        <v>34</v>
      </c>
      <c r="E597" s="5" t="s">
        <v>28</v>
      </c>
      <c r="F597" t="s">
        <v>55</v>
      </c>
      <c r="G597" s="4" t="str">
        <f t="shared" si="19"/>
        <v>500.000–1.000.000</v>
      </c>
      <c r="H597" t="s">
        <v>7</v>
      </c>
      <c r="I597">
        <v>3</v>
      </c>
      <c r="J597" t="s">
        <v>8</v>
      </c>
      <c r="K597" s="5" t="s">
        <v>38</v>
      </c>
      <c r="L597" s="5" t="s">
        <v>49</v>
      </c>
      <c r="M597" s="5" t="s">
        <v>57</v>
      </c>
      <c r="N597" s="5" t="s">
        <v>58</v>
      </c>
      <c r="O597" s="5" t="s">
        <v>42</v>
      </c>
      <c r="P597" s="5" t="s">
        <v>15</v>
      </c>
      <c r="Q597" s="5" t="s">
        <v>17</v>
      </c>
      <c r="R597" s="5" t="s">
        <v>43</v>
      </c>
      <c r="S597" s="5" t="s">
        <v>21</v>
      </c>
      <c r="T597" s="6" t="s">
        <v>23</v>
      </c>
      <c r="U597" s="6">
        <v>1</v>
      </c>
      <c r="V597" s="6" t="s">
        <v>26</v>
      </c>
      <c r="W597" s="6">
        <v>1</v>
      </c>
      <c r="X597" s="6" t="s">
        <v>44</v>
      </c>
      <c r="Y597">
        <v>2</v>
      </c>
      <c r="Z597" s="5" t="s">
        <v>44</v>
      </c>
      <c r="AA597" s="5" t="s">
        <v>46</v>
      </c>
      <c r="AB597" s="5" t="s">
        <v>46</v>
      </c>
    </row>
    <row r="598" spans="1:28" x14ac:dyDescent="0.35">
      <c r="A598" s="8" t="s">
        <v>984</v>
      </c>
      <c r="B598" s="5" t="s">
        <v>662</v>
      </c>
      <c r="C598">
        <v>1978</v>
      </c>
      <c r="D598">
        <f t="shared" ca="1" si="18"/>
        <v>47</v>
      </c>
      <c r="E598" s="5" t="s">
        <v>6</v>
      </c>
      <c r="F598" t="s">
        <v>29</v>
      </c>
      <c r="G598" s="4" t="str">
        <f t="shared" si="19"/>
        <v>&lt;500.000</v>
      </c>
      <c r="H598" t="s">
        <v>63</v>
      </c>
      <c r="I598">
        <v>3</v>
      </c>
      <c r="J598" t="s">
        <v>48</v>
      </c>
      <c r="K598" s="5" t="s">
        <v>114</v>
      </c>
      <c r="L598" s="5" t="s">
        <v>11</v>
      </c>
      <c r="M598" s="5" t="s">
        <v>57</v>
      </c>
      <c r="N598" s="5" t="s">
        <v>58</v>
      </c>
      <c r="O598" s="5" t="s">
        <v>42</v>
      </c>
      <c r="P598" s="5" t="s">
        <v>15</v>
      </c>
      <c r="Q598" s="5" t="s">
        <v>17</v>
      </c>
      <c r="R598" s="5" t="s">
        <v>43</v>
      </c>
      <c r="S598" s="5" t="s">
        <v>21</v>
      </c>
      <c r="T598" s="6" t="s">
        <v>23</v>
      </c>
      <c r="U598" s="6">
        <v>1</v>
      </c>
      <c r="V598" s="6" t="s">
        <v>26</v>
      </c>
      <c r="W598" s="6">
        <v>1</v>
      </c>
      <c r="X598" s="6" t="s">
        <v>46</v>
      </c>
      <c r="Y598">
        <v>2</v>
      </c>
      <c r="Z598" s="5" t="s">
        <v>46</v>
      </c>
      <c r="AA598" s="5" t="s">
        <v>46</v>
      </c>
      <c r="AB598" s="5" t="s">
        <v>46</v>
      </c>
    </row>
    <row r="599" spans="1:28" x14ac:dyDescent="0.35">
      <c r="A599" s="8" t="s">
        <v>985</v>
      </c>
      <c r="B599" s="5" t="s">
        <v>239</v>
      </c>
      <c r="C599">
        <v>1982</v>
      </c>
      <c r="D599">
        <f t="shared" ca="1" si="18"/>
        <v>43</v>
      </c>
      <c r="E599" s="5" t="s">
        <v>28</v>
      </c>
      <c r="F599" t="s">
        <v>54</v>
      </c>
      <c r="G599" s="4" t="str">
        <f t="shared" si="19"/>
        <v>1.000.000–2.000.000</v>
      </c>
      <c r="H599" t="s">
        <v>139</v>
      </c>
      <c r="I599">
        <v>3</v>
      </c>
      <c r="J599" t="s">
        <v>48</v>
      </c>
      <c r="K599" s="5" t="s">
        <v>114</v>
      </c>
      <c r="L599" s="5" t="s">
        <v>11</v>
      </c>
      <c r="M599" s="5" t="s">
        <v>57</v>
      </c>
      <c r="N599" s="5" t="s">
        <v>58</v>
      </c>
      <c r="O599" s="5" t="s">
        <v>42</v>
      </c>
      <c r="P599" s="5" t="s">
        <v>15</v>
      </c>
      <c r="Q599" s="5" t="s">
        <v>17</v>
      </c>
      <c r="R599" s="5" t="s">
        <v>43</v>
      </c>
      <c r="S599" s="5" t="s">
        <v>21</v>
      </c>
      <c r="T599" s="6" t="s">
        <v>23</v>
      </c>
      <c r="U599" s="6">
        <v>1</v>
      </c>
      <c r="V599" s="6" t="s">
        <v>26</v>
      </c>
      <c r="W599" s="6">
        <v>1</v>
      </c>
      <c r="X599" s="6" t="s">
        <v>46</v>
      </c>
      <c r="Y599">
        <v>2</v>
      </c>
      <c r="Z599" s="5" t="s">
        <v>46</v>
      </c>
      <c r="AA599" s="5" t="s">
        <v>46</v>
      </c>
      <c r="AB599" s="5" t="s">
        <v>46</v>
      </c>
    </row>
    <row r="600" spans="1:28" x14ac:dyDescent="0.35">
      <c r="A600" s="8" t="s">
        <v>986</v>
      </c>
      <c r="B600" s="5" t="s">
        <v>663</v>
      </c>
      <c r="C600">
        <v>1970</v>
      </c>
      <c r="D600">
        <f t="shared" ca="1" si="18"/>
        <v>55</v>
      </c>
      <c r="E600" s="5" t="s">
        <v>6</v>
      </c>
      <c r="F600" t="s">
        <v>55</v>
      </c>
      <c r="G600" s="4" t="str">
        <f t="shared" si="19"/>
        <v>500.000–1.000.000</v>
      </c>
      <c r="H600" t="s">
        <v>7</v>
      </c>
      <c r="I600">
        <v>1</v>
      </c>
      <c r="J600" t="s">
        <v>8</v>
      </c>
      <c r="K600" s="5" t="s">
        <v>38</v>
      </c>
      <c r="L600" s="5" t="s">
        <v>49</v>
      </c>
      <c r="M600" s="5" t="s">
        <v>57</v>
      </c>
      <c r="N600" s="5" t="s">
        <v>58</v>
      </c>
      <c r="O600" s="5" t="s">
        <v>42</v>
      </c>
      <c r="P600" s="5" t="s">
        <v>15</v>
      </c>
      <c r="Q600" s="5" t="s">
        <v>17</v>
      </c>
      <c r="R600" s="5" t="s">
        <v>43</v>
      </c>
      <c r="S600" s="5" t="s">
        <v>21</v>
      </c>
      <c r="T600" s="6" t="s">
        <v>23</v>
      </c>
      <c r="U600" s="6">
        <v>1</v>
      </c>
      <c r="V600" s="6" t="s">
        <v>26</v>
      </c>
      <c r="W600" s="6">
        <v>1</v>
      </c>
      <c r="X600" s="6" t="s">
        <v>60</v>
      </c>
      <c r="Y600">
        <v>0</v>
      </c>
      <c r="Z600" s="5" t="s">
        <v>46</v>
      </c>
      <c r="AA600" s="5" t="s">
        <v>46</v>
      </c>
      <c r="AB600" s="5" t="s">
        <v>46</v>
      </c>
    </row>
    <row r="601" spans="1:28" x14ac:dyDescent="0.35">
      <c r="A601" s="8" t="s">
        <v>987</v>
      </c>
      <c r="B601" s="5" t="s">
        <v>664</v>
      </c>
      <c r="C601">
        <v>1976</v>
      </c>
      <c r="D601">
        <f t="shared" ca="1" si="18"/>
        <v>49</v>
      </c>
      <c r="E601" s="5" t="s">
        <v>28</v>
      </c>
      <c r="F601" t="s">
        <v>29</v>
      </c>
      <c r="G601" s="4" t="str">
        <f t="shared" si="19"/>
        <v>&lt;500.000</v>
      </c>
      <c r="H601" t="s">
        <v>30</v>
      </c>
      <c r="I601">
        <v>1</v>
      </c>
      <c r="J601" t="s">
        <v>8</v>
      </c>
      <c r="K601" s="5" t="s">
        <v>38</v>
      </c>
      <c r="L601" s="5" t="s">
        <v>49</v>
      </c>
      <c r="M601" s="5" t="s">
        <v>57</v>
      </c>
      <c r="N601" s="5" t="s">
        <v>58</v>
      </c>
      <c r="O601" s="5" t="s">
        <v>42</v>
      </c>
      <c r="P601" s="5" t="s">
        <v>15</v>
      </c>
      <c r="Q601" s="5" t="s">
        <v>17</v>
      </c>
      <c r="R601" s="5" t="s">
        <v>43</v>
      </c>
      <c r="S601" s="5" t="s">
        <v>21</v>
      </c>
      <c r="T601" s="6" t="s">
        <v>23</v>
      </c>
      <c r="U601" s="6">
        <v>1</v>
      </c>
      <c r="V601" s="6" t="s">
        <v>26</v>
      </c>
      <c r="W601" s="6">
        <v>1</v>
      </c>
      <c r="X601" s="6" t="s">
        <v>60</v>
      </c>
      <c r="Y601">
        <v>0</v>
      </c>
      <c r="Z601" s="5" t="s">
        <v>46</v>
      </c>
      <c r="AA601" s="5" t="s">
        <v>46</v>
      </c>
      <c r="AB601" s="5" t="s">
        <v>46</v>
      </c>
    </row>
    <row r="602" spans="1:28" x14ac:dyDescent="0.35">
      <c r="A602" s="8" t="s">
        <v>988</v>
      </c>
      <c r="B602" s="5" t="s">
        <v>665</v>
      </c>
      <c r="C602">
        <v>1964</v>
      </c>
      <c r="D602">
        <f t="shared" ca="1" si="18"/>
        <v>61</v>
      </c>
      <c r="E602" s="5" t="s">
        <v>6</v>
      </c>
      <c r="F602" t="s">
        <v>55</v>
      </c>
      <c r="G602" s="4" t="str">
        <f t="shared" si="19"/>
        <v>500.000–1.000.000</v>
      </c>
      <c r="H602" t="s">
        <v>30</v>
      </c>
      <c r="I602">
        <v>2</v>
      </c>
      <c r="J602" t="s">
        <v>8</v>
      </c>
      <c r="K602" s="5" t="s">
        <v>38</v>
      </c>
      <c r="L602" s="5" t="s">
        <v>49</v>
      </c>
      <c r="M602" s="5" t="s">
        <v>57</v>
      </c>
      <c r="N602" s="5" t="s">
        <v>58</v>
      </c>
      <c r="O602" s="5" t="s">
        <v>42</v>
      </c>
      <c r="P602" s="5" t="s">
        <v>15</v>
      </c>
      <c r="Q602" s="5" t="s">
        <v>17</v>
      </c>
      <c r="R602" s="5" t="s">
        <v>43</v>
      </c>
      <c r="S602" s="5" t="s">
        <v>21</v>
      </c>
      <c r="T602" s="6" t="s">
        <v>23</v>
      </c>
      <c r="U602" s="6">
        <v>1</v>
      </c>
      <c r="V602" s="6" t="s">
        <v>26</v>
      </c>
      <c r="W602" s="6">
        <v>1</v>
      </c>
      <c r="X602" s="6" t="s">
        <v>46</v>
      </c>
      <c r="Y602">
        <v>0</v>
      </c>
      <c r="Z602" s="5" t="s">
        <v>46</v>
      </c>
      <c r="AA602" s="5" t="s">
        <v>44</v>
      </c>
      <c r="AB602" s="5" t="s">
        <v>74</v>
      </c>
    </row>
    <row r="603" spans="1:28" x14ac:dyDescent="0.35">
      <c r="A603" s="8" t="s">
        <v>989</v>
      </c>
      <c r="B603" s="5" t="s">
        <v>666</v>
      </c>
      <c r="C603">
        <v>1936</v>
      </c>
      <c r="D603">
        <f t="shared" ca="1" si="18"/>
        <v>89</v>
      </c>
      <c r="E603" s="5" t="s">
        <v>6</v>
      </c>
      <c r="F603" t="s">
        <v>29</v>
      </c>
      <c r="G603" s="4" t="str">
        <f t="shared" si="19"/>
        <v>&lt;500.000</v>
      </c>
      <c r="H603" t="s">
        <v>30</v>
      </c>
      <c r="I603">
        <v>0</v>
      </c>
      <c r="J603" t="s">
        <v>8</v>
      </c>
      <c r="K603" s="5" t="s">
        <v>38</v>
      </c>
      <c r="L603" s="5" t="s">
        <v>11</v>
      </c>
      <c r="M603" s="5" t="s">
        <v>40</v>
      </c>
      <c r="N603" s="5" t="s">
        <v>37</v>
      </c>
      <c r="O603" s="5" t="s">
        <v>42</v>
      </c>
      <c r="P603" s="5" t="s">
        <v>15</v>
      </c>
      <c r="Q603" s="5" t="s">
        <v>17</v>
      </c>
      <c r="R603" s="5" t="s">
        <v>43</v>
      </c>
      <c r="S603" s="5" t="s">
        <v>21</v>
      </c>
      <c r="T603" s="6" t="s">
        <v>73</v>
      </c>
      <c r="U603" s="6">
        <v>0</v>
      </c>
      <c r="V603" s="6" t="s">
        <v>73</v>
      </c>
      <c r="W603" s="6">
        <v>0</v>
      </c>
      <c r="X603" s="6" t="s">
        <v>46</v>
      </c>
      <c r="Y603">
        <v>0</v>
      </c>
      <c r="Z603" s="5" t="s">
        <v>46</v>
      </c>
      <c r="AA603" s="5" t="s">
        <v>64</v>
      </c>
      <c r="AB603" s="5" t="s">
        <v>46</v>
      </c>
    </row>
    <row r="604" spans="1:28" x14ac:dyDescent="0.35">
      <c r="A604" s="8" t="s">
        <v>990</v>
      </c>
      <c r="B604" s="5" t="s">
        <v>667</v>
      </c>
      <c r="C604">
        <v>1940</v>
      </c>
      <c r="D604">
        <f t="shared" ca="1" si="18"/>
        <v>85</v>
      </c>
      <c r="E604" s="5" t="s">
        <v>28</v>
      </c>
      <c r="F604" t="s">
        <v>29</v>
      </c>
      <c r="G604" s="4" t="str">
        <f t="shared" si="19"/>
        <v>&lt;500.000</v>
      </c>
      <c r="H604" t="s">
        <v>63</v>
      </c>
      <c r="I604">
        <v>0</v>
      </c>
      <c r="J604" t="s">
        <v>8</v>
      </c>
      <c r="K604" s="5" t="s">
        <v>38</v>
      </c>
      <c r="L604" s="5" t="s">
        <v>11</v>
      </c>
      <c r="M604" s="5" t="s">
        <v>40</v>
      </c>
      <c r="N604" s="5" t="s">
        <v>37</v>
      </c>
      <c r="O604" s="5" t="s">
        <v>42</v>
      </c>
      <c r="P604" s="5" t="s">
        <v>15</v>
      </c>
      <c r="Q604" s="5" t="s">
        <v>17</v>
      </c>
      <c r="R604" s="5" t="s">
        <v>43</v>
      </c>
      <c r="S604" s="5" t="s">
        <v>21</v>
      </c>
      <c r="T604" s="6" t="s">
        <v>73</v>
      </c>
      <c r="U604" s="6">
        <v>0</v>
      </c>
      <c r="V604" s="6" t="s">
        <v>73</v>
      </c>
      <c r="W604" s="6">
        <v>0</v>
      </c>
      <c r="X604" s="6" t="s">
        <v>46</v>
      </c>
      <c r="Y604">
        <v>0</v>
      </c>
      <c r="Z604" s="5" t="s">
        <v>46</v>
      </c>
      <c r="AA604" s="5" t="s">
        <v>64</v>
      </c>
      <c r="AB604" s="5" t="s">
        <v>46</v>
      </c>
    </row>
    <row r="605" spans="1:28" x14ac:dyDescent="0.35">
      <c r="A605" s="8" t="s">
        <v>991</v>
      </c>
      <c r="B605" s="5" t="s">
        <v>668</v>
      </c>
      <c r="C605">
        <v>1973</v>
      </c>
      <c r="D605">
        <f t="shared" ca="1" si="18"/>
        <v>52</v>
      </c>
      <c r="E605" s="5" t="s">
        <v>6</v>
      </c>
      <c r="F605" t="s">
        <v>29</v>
      </c>
      <c r="G605" s="4" t="str">
        <f t="shared" si="19"/>
        <v>&lt;500.000</v>
      </c>
      <c r="H605" t="s">
        <v>30</v>
      </c>
      <c r="I605">
        <v>3</v>
      </c>
      <c r="J605" t="s">
        <v>72</v>
      </c>
      <c r="K605" s="5" t="s">
        <v>114</v>
      </c>
      <c r="L605" s="5" t="s">
        <v>11</v>
      </c>
      <c r="M605" s="5" t="s">
        <v>57</v>
      </c>
      <c r="N605" s="5" t="s">
        <v>58</v>
      </c>
      <c r="O605" s="5" t="s">
        <v>42</v>
      </c>
      <c r="P605" s="5" t="s">
        <v>15</v>
      </c>
      <c r="Q605" s="5" t="s">
        <v>17</v>
      </c>
      <c r="R605" s="5" t="s">
        <v>43</v>
      </c>
      <c r="S605" s="5" t="s">
        <v>21</v>
      </c>
      <c r="T605" s="6" t="s">
        <v>23</v>
      </c>
      <c r="U605" s="6">
        <v>1</v>
      </c>
      <c r="V605" s="6" t="s">
        <v>117</v>
      </c>
      <c r="W605" s="6">
        <v>1</v>
      </c>
      <c r="X605" s="6" t="s">
        <v>46</v>
      </c>
      <c r="Y605">
        <v>0</v>
      </c>
      <c r="Z605" s="5" t="s">
        <v>46</v>
      </c>
      <c r="AA605" s="5" t="s">
        <v>46</v>
      </c>
      <c r="AB605" s="5" t="s">
        <v>46</v>
      </c>
    </row>
    <row r="606" spans="1:28" x14ac:dyDescent="0.35">
      <c r="A606" s="8" t="s">
        <v>992</v>
      </c>
      <c r="B606" s="5" t="s">
        <v>669</v>
      </c>
      <c r="C606">
        <v>1968</v>
      </c>
      <c r="D606">
        <f t="shared" ca="1" si="18"/>
        <v>57</v>
      </c>
      <c r="E606" s="5" t="s">
        <v>6</v>
      </c>
      <c r="F606" t="s">
        <v>55</v>
      </c>
      <c r="G606" s="4" t="str">
        <f t="shared" si="19"/>
        <v>500.000–1.000.000</v>
      </c>
      <c r="H606" t="s">
        <v>30</v>
      </c>
      <c r="I606">
        <v>2</v>
      </c>
      <c r="J606" t="s">
        <v>8</v>
      </c>
      <c r="K606" s="5" t="s">
        <v>114</v>
      </c>
      <c r="L606" s="5" t="s">
        <v>11</v>
      </c>
      <c r="M606" s="5" t="s">
        <v>57</v>
      </c>
      <c r="N606" s="5" t="s">
        <v>58</v>
      </c>
      <c r="O606" s="5" t="s">
        <v>42</v>
      </c>
      <c r="P606" s="5" t="s">
        <v>15</v>
      </c>
      <c r="Q606" s="5" t="s">
        <v>17</v>
      </c>
      <c r="R606" s="5" t="s">
        <v>43</v>
      </c>
      <c r="S606" s="5" t="s">
        <v>21</v>
      </c>
      <c r="T606" s="6" t="s">
        <v>84</v>
      </c>
      <c r="U606" s="6">
        <v>1</v>
      </c>
      <c r="V606" s="6" t="s">
        <v>26</v>
      </c>
      <c r="W606" s="6">
        <v>1</v>
      </c>
      <c r="X606" s="6" t="s">
        <v>46</v>
      </c>
      <c r="Y606">
        <v>1</v>
      </c>
      <c r="Z606" s="5" t="s">
        <v>46</v>
      </c>
      <c r="AA606" s="5" t="s">
        <v>46</v>
      </c>
      <c r="AB606" s="5" t="s">
        <v>46</v>
      </c>
    </row>
    <row r="607" spans="1:28" x14ac:dyDescent="0.35">
      <c r="A607" s="8" t="s">
        <v>993</v>
      </c>
      <c r="B607" s="5" t="s">
        <v>670</v>
      </c>
      <c r="C607">
        <v>1977</v>
      </c>
      <c r="D607">
        <f t="shared" ca="1" si="18"/>
        <v>48</v>
      </c>
      <c r="E607" s="5" t="s">
        <v>28</v>
      </c>
      <c r="F607" t="s">
        <v>55</v>
      </c>
      <c r="G607" s="4" t="str">
        <f t="shared" si="19"/>
        <v>500.000–1.000.000</v>
      </c>
      <c r="H607" t="s">
        <v>7</v>
      </c>
      <c r="I607">
        <v>2</v>
      </c>
      <c r="J607" t="s">
        <v>8</v>
      </c>
      <c r="K607" s="5" t="s">
        <v>114</v>
      </c>
      <c r="L607" s="5" t="s">
        <v>11</v>
      </c>
      <c r="M607" s="5" t="s">
        <v>57</v>
      </c>
      <c r="N607" s="5" t="s">
        <v>58</v>
      </c>
      <c r="O607" s="5" t="s">
        <v>42</v>
      </c>
      <c r="P607" s="5" t="s">
        <v>15</v>
      </c>
      <c r="Q607" s="5" t="s">
        <v>17</v>
      </c>
      <c r="R607" s="5" t="s">
        <v>43</v>
      </c>
      <c r="S607" s="5" t="s">
        <v>21</v>
      </c>
      <c r="T607" s="6" t="s">
        <v>84</v>
      </c>
      <c r="U607" s="6">
        <v>1</v>
      </c>
      <c r="V607" s="6" t="s">
        <v>26</v>
      </c>
      <c r="W607" s="6">
        <v>1</v>
      </c>
      <c r="X607" s="6" t="s">
        <v>46</v>
      </c>
      <c r="Y607">
        <v>1</v>
      </c>
      <c r="Z607" s="5" t="s">
        <v>46</v>
      </c>
      <c r="AA607" s="5" t="s">
        <v>46</v>
      </c>
      <c r="AB607" s="5" t="s">
        <v>46</v>
      </c>
    </row>
    <row r="608" spans="1:28" x14ac:dyDescent="0.35">
      <c r="A608" s="8" t="s">
        <v>994</v>
      </c>
      <c r="B608" s="5" t="s">
        <v>671</v>
      </c>
      <c r="C608">
        <v>1964</v>
      </c>
      <c r="D608">
        <f t="shared" ca="1" si="18"/>
        <v>61</v>
      </c>
      <c r="E608" s="5" t="s">
        <v>6</v>
      </c>
      <c r="F608" t="s">
        <v>29</v>
      </c>
      <c r="G608" s="4" t="str">
        <f t="shared" si="19"/>
        <v>&lt;500.000</v>
      </c>
      <c r="H608" t="s">
        <v>30</v>
      </c>
      <c r="I608">
        <v>2</v>
      </c>
      <c r="J608" t="s">
        <v>8</v>
      </c>
      <c r="K608" s="5" t="s">
        <v>38</v>
      </c>
      <c r="L608" s="5" t="s">
        <v>11</v>
      </c>
      <c r="M608" s="5" t="s">
        <v>57</v>
      </c>
      <c r="N608" s="5" t="s">
        <v>58</v>
      </c>
      <c r="O608" s="5" t="s">
        <v>42</v>
      </c>
      <c r="P608" s="5" t="s">
        <v>15</v>
      </c>
      <c r="Q608" s="5" t="s">
        <v>17</v>
      </c>
      <c r="R608" s="5" t="s">
        <v>43</v>
      </c>
      <c r="S608" s="5" t="s">
        <v>21</v>
      </c>
      <c r="T608" s="6" t="s">
        <v>23</v>
      </c>
      <c r="U608" s="6">
        <v>1</v>
      </c>
      <c r="V608" s="6" t="s">
        <v>26</v>
      </c>
      <c r="W608" s="6">
        <v>1</v>
      </c>
      <c r="X608" s="6" t="s">
        <v>60</v>
      </c>
      <c r="Y608">
        <v>0</v>
      </c>
      <c r="Z608" s="5" t="s">
        <v>46</v>
      </c>
      <c r="AA608" s="5" t="s">
        <v>44</v>
      </c>
      <c r="AB608" s="5" t="s">
        <v>46</v>
      </c>
    </row>
    <row r="609" spans="1:28" x14ac:dyDescent="0.35">
      <c r="A609" s="8" t="s">
        <v>995</v>
      </c>
      <c r="B609" s="5" t="s">
        <v>672</v>
      </c>
      <c r="C609">
        <v>1974</v>
      </c>
      <c r="D609">
        <f t="shared" ca="1" si="18"/>
        <v>51</v>
      </c>
      <c r="E609" s="5" t="s">
        <v>6</v>
      </c>
      <c r="F609" t="s">
        <v>54</v>
      </c>
      <c r="G609" s="4" t="str">
        <f t="shared" si="19"/>
        <v>500.000–1.000.000</v>
      </c>
      <c r="H609" t="s">
        <v>30</v>
      </c>
      <c r="I609">
        <v>1</v>
      </c>
      <c r="J609" t="s">
        <v>8</v>
      </c>
      <c r="K609" s="5" t="s">
        <v>38</v>
      </c>
      <c r="L609" s="5" t="s">
        <v>49</v>
      </c>
      <c r="M609" s="5" t="s">
        <v>57</v>
      </c>
      <c r="N609" s="5" t="s">
        <v>58</v>
      </c>
      <c r="O609" s="5" t="s">
        <v>42</v>
      </c>
      <c r="P609" s="5" t="s">
        <v>15</v>
      </c>
      <c r="Q609" s="5" t="s">
        <v>17</v>
      </c>
      <c r="R609" s="5" t="s">
        <v>43</v>
      </c>
      <c r="S609" s="5" t="s">
        <v>21</v>
      </c>
      <c r="T609" s="6" t="s">
        <v>23</v>
      </c>
      <c r="U609" s="6">
        <v>1</v>
      </c>
      <c r="V609" s="6" t="s">
        <v>26</v>
      </c>
      <c r="W609" s="6">
        <v>1</v>
      </c>
      <c r="X609" s="6" t="s">
        <v>46</v>
      </c>
      <c r="Y609">
        <v>1</v>
      </c>
      <c r="Z609" s="5" t="s">
        <v>46</v>
      </c>
      <c r="AA609" s="5" t="s">
        <v>46</v>
      </c>
      <c r="AB609" s="5" t="s">
        <v>46</v>
      </c>
    </row>
    <row r="610" spans="1:28" x14ac:dyDescent="0.35">
      <c r="A610" s="8" t="s">
        <v>996</v>
      </c>
      <c r="B610" s="5" t="s">
        <v>673</v>
      </c>
      <c r="C610">
        <v>1976</v>
      </c>
      <c r="D610">
        <f t="shared" ca="1" si="18"/>
        <v>49</v>
      </c>
      <c r="E610" s="5" t="s">
        <v>28</v>
      </c>
      <c r="F610" t="s">
        <v>137</v>
      </c>
      <c r="G610" s="4" t="str">
        <f t="shared" si="19"/>
        <v>500.000–1.000.000</v>
      </c>
      <c r="H610" t="s">
        <v>30</v>
      </c>
      <c r="I610">
        <v>1</v>
      </c>
      <c r="J610" t="s">
        <v>8</v>
      </c>
      <c r="K610" s="5" t="s">
        <v>38</v>
      </c>
      <c r="L610" s="5" t="s">
        <v>49</v>
      </c>
      <c r="M610" s="5" t="s">
        <v>57</v>
      </c>
      <c r="N610" s="5" t="s">
        <v>58</v>
      </c>
      <c r="O610" s="5" t="s">
        <v>42</v>
      </c>
      <c r="P610" s="5" t="s">
        <v>15</v>
      </c>
      <c r="Q610" s="5" t="s">
        <v>17</v>
      </c>
      <c r="R610" s="5" t="s">
        <v>43</v>
      </c>
      <c r="S610" s="5" t="s">
        <v>21</v>
      </c>
      <c r="T610" s="6" t="s">
        <v>23</v>
      </c>
      <c r="U610" s="6">
        <v>1</v>
      </c>
      <c r="V610" s="6" t="s">
        <v>26</v>
      </c>
      <c r="W610" s="6">
        <v>1</v>
      </c>
      <c r="X610" s="6" t="s">
        <v>46</v>
      </c>
      <c r="Y610">
        <v>1</v>
      </c>
      <c r="Z610" s="5" t="s">
        <v>46</v>
      </c>
      <c r="AA610" s="5" t="s">
        <v>46</v>
      </c>
      <c r="AB610" s="5" t="s">
        <v>46</v>
      </c>
    </row>
    <row r="611" spans="1:28" x14ac:dyDescent="0.35">
      <c r="A611" s="8" t="s">
        <v>997</v>
      </c>
      <c r="B611" s="5" t="s">
        <v>530</v>
      </c>
      <c r="C611">
        <v>1995</v>
      </c>
      <c r="D611">
        <f t="shared" ca="1" si="18"/>
        <v>30</v>
      </c>
      <c r="E611" s="5" t="s">
        <v>6</v>
      </c>
      <c r="F611" t="s">
        <v>29</v>
      </c>
      <c r="G611" s="4" t="str">
        <f t="shared" si="19"/>
        <v>&lt;500.000</v>
      </c>
      <c r="H611" t="s">
        <v>63</v>
      </c>
      <c r="I611">
        <v>0</v>
      </c>
      <c r="J611" t="s">
        <v>72</v>
      </c>
      <c r="K611" s="5" t="s">
        <v>38</v>
      </c>
      <c r="L611" s="5" t="s">
        <v>11</v>
      </c>
      <c r="M611" s="5" t="s">
        <v>57</v>
      </c>
      <c r="N611" s="5" t="s">
        <v>58</v>
      </c>
      <c r="O611" s="5" t="s">
        <v>42</v>
      </c>
      <c r="P611" s="5" t="s">
        <v>15</v>
      </c>
      <c r="Q611" s="5" t="s">
        <v>17</v>
      </c>
      <c r="R611" s="5" t="s">
        <v>43</v>
      </c>
      <c r="S611" s="5" t="s">
        <v>21</v>
      </c>
      <c r="T611" s="6" t="s">
        <v>23</v>
      </c>
      <c r="U611" s="6">
        <v>1</v>
      </c>
      <c r="V611" s="6" t="s">
        <v>76</v>
      </c>
      <c r="W611" s="6">
        <v>1</v>
      </c>
      <c r="X611" s="6" t="s">
        <v>46</v>
      </c>
      <c r="Y611">
        <v>0</v>
      </c>
      <c r="Z611" s="5" t="s">
        <v>46</v>
      </c>
      <c r="AA611" s="5" t="s">
        <v>46</v>
      </c>
      <c r="AB611" s="5" t="s">
        <v>46</v>
      </c>
    </row>
    <row r="612" spans="1:28" x14ac:dyDescent="0.35">
      <c r="A612" s="8" t="s">
        <v>998</v>
      </c>
      <c r="B612" s="5" t="s">
        <v>674</v>
      </c>
      <c r="C612">
        <v>2001</v>
      </c>
      <c r="D612">
        <f t="shared" ref="D612:D675" ca="1" si="20">YEAR(TODAY()) - C612</f>
        <v>24</v>
      </c>
      <c r="E612" s="5" t="s">
        <v>28</v>
      </c>
      <c r="F612" t="s">
        <v>119</v>
      </c>
      <c r="G612" s="4" t="str">
        <f t="shared" si="19"/>
        <v>500.000–1.000.000</v>
      </c>
      <c r="H612" t="s">
        <v>139</v>
      </c>
      <c r="I612">
        <v>0</v>
      </c>
      <c r="J612" t="s">
        <v>72</v>
      </c>
      <c r="K612" s="5" t="s">
        <v>38</v>
      </c>
      <c r="L612" s="5" t="s">
        <v>11</v>
      </c>
      <c r="M612" s="5" t="s">
        <v>57</v>
      </c>
      <c r="N612" s="5" t="s">
        <v>58</v>
      </c>
      <c r="O612" s="5" t="s">
        <v>42</v>
      </c>
      <c r="P612" s="5" t="s">
        <v>15</v>
      </c>
      <c r="Q612" s="5" t="s">
        <v>17</v>
      </c>
      <c r="R612" s="5" t="s">
        <v>43</v>
      </c>
      <c r="S612" s="5" t="s">
        <v>21</v>
      </c>
      <c r="T612" s="6" t="s">
        <v>23</v>
      </c>
      <c r="U612" s="6">
        <v>1</v>
      </c>
      <c r="V612" s="6" t="s">
        <v>76</v>
      </c>
      <c r="W612" s="6">
        <v>1</v>
      </c>
      <c r="X612" s="6" t="s">
        <v>46</v>
      </c>
      <c r="Y612">
        <v>0</v>
      </c>
      <c r="Z612" s="5" t="s">
        <v>46</v>
      </c>
      <c r="AA612" s="5" t="s">
        <v>46</v>
      </c>
      <c r="AB612" s="5" t="s">
        <v>46</v>
      </c>
    </row>
    <row r="613" spans="1:28" x14ac:dyDescent="0.35">
      <c r="A613" s="8" t="s">
        <v>999</v>
      </c>
      <c r="B613" s="5" t="s">
        <v>675</v>
      </c>
      <c r="C613">
        <v>1963</v>
      </c>
      <c r="D613">
        <f t="shared" ca="1" si="20"/>
        <v>62</v>
      </c>
      <c r="E613" s="5" t="s">
        <v>6</v>
      </c>
      <c r="F613" t="s">
        <v>29</v>
      </c>
      <c r="G613" s="4" t="str">
        <f t="shared" ref="G613:G676" si="21">IF(OR(
    F613="Tidak bekerja",
    F613="Pekerja keluarga/Tidak dibayar"),
    IF(OR(H613="Tidak Sekolah", H613="SD"), "&lt;500.000", "500.000–1.000.000"),
IF(OR(
    F613="Pekerja Bebas Pertanian",
    F613="Pekerja Bebas non-Pertanian"),
    IF(OR(H613="Tidak Sekolah", H613="SD", H613="SMP"), "500.000–1.000.000", "1.000.000–2.000.000"),
IF(F613="Buruh/Karyawan/Pegawai Swasta",
    IF(OR(H613="SD", H613="SMP"), "500.000–1.000.000",
       IF(OR(H613="SMA/SMK", H613="D1/2/3"), "1.000.000–2.000.000", "2.000.000–3.000.000")
    ),
IF(F613="Berusaha Sendiri",
    IF(OR(H613="SD", H613="SMP"), "500.000–1.000.000", "1.000.000–2.000.000"),
IF(F613="Berusaha dibantu buruh tidak tetap/Tidak dibayar", "1.000.000–2.000.000",
IF(F613="Berusaha dibantu buruh tetap/Dibayar", "2.000.000–3.000.000",
IF(F613="PNS/TNI/Polri/BUMN/BUMD/Anggota Legislatif", "2.000.000–3.000.000",
""
)))))))</f>
        <v>&lt;500.000</v>
      </c>
      <c r="H613" t="s">
        <v>63</v>
      </c>
      <c r="I613">
        <v>0</v>
      </c>
      <c r="J613" t="s">
        <v>8</v>
      </c>
      <c r="K613" s="5" t="s">
        <v>38</v>
      </c>
      <c r="L613" s="5" t="s">
        <v>11</v>
      </c>
      <c r="M613" s="5" t="s">
        <v>57</v>
      </c>
      <c r="N613" s="5" t="s">
        <v>58</v>
      </c>
      <c r="O613" s="5" t="s">
        <v>42</v>
      </c>
      <c r="P613" s="5" t="s">
        <v>15</v>
      </c>
      <c r="Q613" s="5" t="s">
        <v>17</v>
      </c>
      <c r="R613" s="5" t="s">
        <v>43</v>
      </c>
      <c r="S613" s="5" t="s">
        <v>21</v>
      </c>
      <c r="T613" s="6" t="s">
        <v>73</v>
      </c>
      <c r="U613" s="6">
        <v>0</v>
      </c>
      <c r="V613" s="6" t="s">
        <v>117</v>
      </c>
      <c r="W613" s="6">
        <v>1</v>
      </c>
      <c r="X613" s="6" t="s">
        <v>46</v>
      </c>
      <c r="Y613">
        <v>0</v>
      </c>
      <c r="Z613" s="5" t="s">
        <v>46</v>
      </c>
      <c r="AA613" s="5" t="s">
        <v>64</v>
      </c>
      <c r="AB613" s="5" t="s">
        <v>46</v>
      </c>
    </row>
    <row r="614" spans="1:28" x14ac:dyDescent="0.35">
      <c r="A614" s="8" t="s">
        <v>1000</v>
      </c>
      <c r="B614" s="5" t="s">
        <v>676</v>
      </c>
      <c r="C614">
        <v>1964</v>
      </c>
      <c r="D614">
        <f t="shared" ca="1" si="20"/>
        <v>61</v>
      </c>
      <c r="E614" s="5" t="s">
        <v>28</v>
      </c>
      <c r="F614" t="s">
        <v>29</v>
      </c>
      <c r="G614" s="4" t="str">
        <f t="shared" si="21"/>
        <v>&lt;500.000</v>
      </c>
      <c r="H614" t="s">
        <v>30</v>
      </c>
      <c r="I614">
        <v>0</v>
      </c>
      <c r="J614" t="s">
        <v>8</v>
      </c>
      <c r="K614" s="5" t="s">
        <v>38</v>
      </c>
      <c r="L614" s="5" t="s">
        <v>11</v>
      </c>
      <c r="M614" s="5" t="s">
        <v>57</v>
      </c>
      <c r="N614" s="5" t="s">
        <v>58</v>
      </c>
      <c r="O614" s="5" t="s">
        <v>42</v>
      </c>
      <c r="P614" s="5" t="s">
        <v>15</v>
      </c>
      <c r="Q614" s="5" t="s">
        <v>17</v>
      </c>
      <c r="R614" s="5" t="s">
        <v>43</v>
      </c>
      <c r="S614" s="5" t="s">
        <v>21</v>
      </c>
      <c r="T614" s="6" t="s">
        <v>73</v>
      </c>
      <c r="U614" s="6">
        <v>0</v>
      </c>
      <c r="V614" s="6" t="s">
        <v>117</v>
      </c>
      <c r="W614" s="6">
        <v>1</v>
      </c>
      <c r="X614" s="6" t="s">
        <v>46</v>
      </c>
      <c r="Y614">
        <v>0</v>
      </c>
      <c r="Z614" s="5" t="s">
        <v>46</v>
      </c>
      <c r="AA614" s="5" t="s">
        <v>64</v>
      </c>
      <c r="AB614" s="5" t="s">
        <v>46</v>
      </c>
    </row>
    <row r="615" spans="1:28" x14ac:dyDescent="0.35">
      <c r="A615" s="8" t="s">
        <v>1001</v>
      </c>
      <c r="B615" s="5" t="s">
        <v>677</v>
      </c>
      <c r="C615">
        <v>1955</v>
      </c>
      <c r="D615">
        <f t="shared" ca="1" si="20"/>
        <v>70</v>
      </c>
      <c r="E615" s="5" t="s">
        <v>6</v>
      </c>
      <c r="F615" t="s">
        <v>119</v>
      </c>
      <c r="G615" s="4" t="str">
        <f t="shared" si="21"/>
        <v>&lt;500.000</v>
      </c>
      <c r="H615" t="s">
        <v>30</v>
      </c>
      <c r="I615">
        <v>0</v>
      </c>
      <c r="J615" t="s">
        <v>8</v>
      </c>
      <c r="K615" s="5" t="s">
        <v>114</v>
      </c>
      <c r="L615" s="5" t="s">
        <v>11</v>
      </c>
      <c r="M615" s="5" t="s">
        <v>57</v>
      </c>
      <c r="N615" s="5" t="s">
        <v>58</v>
      </c>
      <c r="O615" s="5" t="s">
        <v>42</v>
      </c>
      <c r="P615" s="5" t="s">
        <v>15</v>
      </c>
      <c r="Q615" s="5" t="s">
        <v>17</v>
      </c>
      <c r="R615" s="5" t="s">
        <v>43</v>
      </c>
      <c r="S615" s="5" t="s">
        <v>21</v>
      </c>
      <c r="T615" s="6" t="s">
        <v>23</v>
      </c>
      <c r="U615" s="6">
        <v>1</v>
      </c>
      <c r="V615" s="6" t="s">
        <v>76</v>
      </c>
      <c r="W615" s="6">
        <v>1</v>
      </c>
      <c r="X615" s="6" t="s">
        <v>46</v>
      </c>
      <c r="Y615">
        <v>0</v>
      </c>
      <c r="Z615" s="5" t="s">
        <v>46</v>
      </c>
      <c r="AA615" s="5" t="s">
        <v>44</v>
      </c>
      <c r="AB615" s="5" t="s">
        <v>46</v>
      </c>
    </row>
    <row r="616" spans="1:28" x14ac:dyDescent="0.35">
      <c r="A616" s="8" t="s">
        <v>1002</v>
      </c>
      <c r="B616" s="5" t="s">
        <v>678</v>
      </c>
      <c r="C616">
        <v>1962</v>
      </c>
      <c r="D616">
        <f t="shared" ca="1" si="20"/>
        <v>63</v>
      </c>
      <c r="E616" s="5" t="s">
        <v>6</v>
      </c>
      <c r="F616" t="s">
        <v>151</v>
      </c>
      <c r="G616" s="4" t="str">
        <f t="shared" si="21"/>
        <v>500.000–1.000.000</v>
      </c>
      <c r="H616" t="s">
        <v>30</v>
      </c>
      <c r="I616">
        <v>0</v>
      </c>
      <c r="J616" t="s">
        <v>8</v>
      </c>
      <c r="K616" s="5" t="s">
        <v>38</v>
      </c>
      <c r="L616" s="5" t="s">
        <v>49</v>
      </c>
      <c r="M616" s="5" t="s">
        <v>57</v>
      </c>
      <c r="N616" s="5" t="s">
        <v>58</v>
      </c>
      <c r="O616" s="5" t="s">
        <v>89</v>
      </c>
      <c r="P616" s="5" t="s">
        <v>15</v>
      </c>
      <c r="Q616" s="5" t="s">
        <v>17</v>
      </c>
      <c r="R616" s="5" t="s">
        <v>43</v>
      </c>
      <c r="S616" s="5" t="s">
        <v>21</v>
      </c>
      <c r="T616" s="6" t="s">
        <v>73</v>
      </c>
      <c r="U616" s="6">
        <v>0</v>
      </c>
      <c r="V616" s="6" t="s">
        <v>73</v>
      </c>
      <c r="W616" s="6">
        <v>0</v>
      </c>
      <c r="X616" s="6" t="s">
        <v>46</v>
      </c>
      <c r="Y616">
        <v>0</v>
      </c>
      <c r="Z616" s="5" t="s">
        <v>46</v>
      </c>
      <c r="AA616" s="5" t="s">
        <v>44</v>
      </c>
      <c r="AB616" s="5" t="s">
        <v>35</v>
      </c>
    </row>
    <row r="617" spans="1:28" x14ac:dyDescent="0.35">
      <c r="A617" s="8" t="s">
        <v>1003</v>
      </c>
      <c r="B617" s="5" t="s">
        <v>500</v>
      </c>
      <c r="C617">
        <v>2000</v>
      </c>
      <c r="D617">
        <f t="shared" ca="1" si="20"/>
        <v>25</v>
      </c>
      <c r="E617" s="5" t="s">
        <v>6</v>
      </c>
      <c r="F617" t="s">
        <v>29</v>
      </c>
      <c r="G617" s="4" t="str">
        <f t="shared" si="21"/>
        <v>&lt;500.000</v>
      </c>
      <c r="H617" t="s">
        <v>63</v>
      </c>
      <c r="I617">
        <v>0</v>
      </c>
      <c r="J617" t="s">
        <v>48</v>
      </c>
      <c r="K617" s="5" t="s">
        <v>38</v>
      </c>
      <c r="L617" s="5" t="s">
        <v>11</v>
      </c>
      <c r="M617" s="5" t="s">
        <v>57</v>
      </c>
      <c r="N617" s="5" t="s">
        <v>58</v>
      </c>
      <c r="O617" s="5" t="s">
        <v>42</v>
      </c>
      <c r="P617" s="5" t="s">
        <v>15</v>
      </c>
      <c r="Q617" s="5" t="s">
        <v>17</v>
      </c>
      <c r="R617" s="5" t="s">
        <v>43</v>
      </c>
      <c r="S617" s="5" t="s">
        <v>21</v>
      </c>
      <c r="T617" s="6" t="s">
        <v>23</v>
      </c>
      <c r="U617" s="6">
        <v>1</v>
      </c>
      <c r="V617" s="6" t="s">
        <v>76</v>
      </c>
      <c r="W617" s="6">
        <v>1</v>
      </c>
      <c r="X617" s="6" t="s">
        <v>46</v>
      </c>
      <c r="Y617">
        <v>0</v>
      </c>
      <c r="Z617" s="5" t="s">
        <v>46</v>
      </c>
      <c r="AA617" s="5" t="s">
        <v>46</v>
      </c>
      <c r="AB617" s="5" t="s">
        <v>46</v>
      </c>
    </row>
    <row r="618" spans="1:28" x14ac:dyDescent="0.35">
      <c r="A618" s="8" t="s">
        <v>1004</v>
      </c>
      <c r="B618" s="5" t="s">
        <v>679</v>
      </c>
      <c r="C618">
        <v>2002</v>
      </c>
      <c r="D618">
        <f t="shared" ca="1" si="20"/>
        <v>23</v>
      </c>
      <c r="E618" s="5" t="s">
        <v>28</v>
      </c>
      <c r="F618" t="s">
        <v>119</v>
      </c>
      <c r="G618" s="4" t="str">
        <f t="shared" si="21"/>
        <v>500.000–1.000.000</v>
      </c>
      <c r="H618" t="s">
        <v>139</v>
      </c>
      <c r="I618">
        <v>0</v>
      </c>
      <c r="J618" t="s">
        <v>48</v>
      </c>
      <c r="K618" s="5" t="s">
        <v>38</v>
      </c>
      <c r="L618" s="5" t="s">
        <v>11</v>
      </c>
      <c r="M618" s="5" t="s">
        <v>57</v>
      </c>
      <c r="N618" s="5" t="s">
        <v>58</v>
      </c>
      <c r="O618" s="5" t="s">
        <v>42</v>
      </c>
      <c r="P618" s="5" t="s">
        <v>15</v>
      </c>
      <c r="Q618" s="5" t="s">
        <v>17</v>
      </c>
      <c r="R618" s="5" t="s">
        <v>43</v>
      </c>
      <c r="S618" s="5" t="s">
        <v>21</v>
      </c>
      <c r="T618" s="6" t="s">
        <v>23</v>
      </c>
      <c r="U618" s="6">
        <v>1</v>
      </c>
      <c r="V618" s="6" t="s">
        <v>76</v>
      </c>
      <c r="W618" s="6">
        <v>1</v>
      </c>
      <c r="X618" s="6" t="s">
        <v>46</v>
      </c>
      <c r="Y618">
        <v>0</v>
      </c>
      <c r="Z618" s="5" t="s">
        <v>46</v>
      </c>
      <c r="AA618" s="5" t="s">
        <v>46</v>
      </c>
      <c r="AB618" s="5" t="s">
        <v>46</v>
      </c>
    </row>
    <row r="619" spans="1:28" x14ac:dyDescent="0.35">
      <c r="A619" s="8" t="s">
        <v>1005</v>
      </c>
      <c r="B619" s="5" t="s">
        <v>680</v>
      </c>
      <c r="C619">
        <v>1971</v>
      </c>
      <c r="D619">
        <f t="shared" ca="1" si="20"/>
        <v>54</v>
      </c>
      <c r="E619" s="5" t="s">
        <v>6</v>
      </c>
      <c r="F619" t="s">
        <v>29</v>
      </c>
      <c r="G619" s="4" t="str">
        <f t="shared" si="21"/>
        <v>500.000–1.000.000</v>
      </c>
      <c r="H619" t="s">
        <v>7</v>
      </c>
      <c r="I619">
        <v>1</v>
      </c>
      <c r="J619" t="s">
        <v>8</v>
      </c>
      <c r="K619" s="5" t="s">
        <v>114</v>
      </c>
      <c r="L619" s="5" t="s">
        <v>11</v>
      </c>
      <c r="M619" s="5" t="s">
        <v>57</v>
      </c>
      <c r="N619" s="5" t="s">
        <v>58</v>
      </c>
      <c r="O619" s="5" t="s">
        <v>42</v>
      </c>
      <c r="P619" s="5" t="s">
        <v>15</v>
      </c>
      <c r="Q619" s="5" t="s">
        <v>17</v>
      </c>
      <c r="R619" s="5" t="s">
        <v>43</v>
      </c>
      <c r="S619" s="5" t="s">
        <v>21</v>
      </c>
      <c r="T619" s="6" t="s">
        <v>23</v>
      </c>
      <c r="U619" s="6">
        <v>1</v>
      </c>
      <c r="V619" s="6" t="s">
        <v>117</v>
      </c>
      <c r="W619" s="6">
        <v>1</v>
      </c>
      <c r="X619" s="6" t="s">
        <v>46</v>
      </c>
      <c r="Y619">
        <v>0</v>
      </c>
      <c r="Z619" s="5" t="s">
        <v>46</v>
      </c>
      <c r="AA619" s="5" t="s">
        <v>46</v>
      </c>
      <c r="AB619" s="5" t="s">
        <v>35</v>
      </c>
    </row>
    <row r="620" spans="1:28" x14ac:dyDescent="0.35">
      <c r="A620" s="8" t="s">
        <v>1006</v>
      </c>
      <c r="B620" s="5" t="s">
        <v>441</v>
      </c>
      <c r="C620">
        <v>1973</v>
      </c>
      <c r="D620">
        <f t="shared" ca="1" si="20"/>
        <v>52</v>
      </c>
      <c r="E620" s="5" t="s">
        <v>28</v>
      </c>
      <c r="F620" t="s">
        <v>29</v>
      </c>
      <c r="G620" s="4" t="str">
        <f t="shared" si="21"/>
        <v>500.000–1.000.000</v>
      </c>
      <c r="H620" t="s">
        <v>7</v>
      </c>
      <c r="I620">
        <v>1</v>
      </c>
      <c r="J620" t="s">
        <v>8</v>
      </c>
      <c r="K620" s="5" t="s">
        <v>114</v>
      </c>
      <c r="L620" s="5" t="s">
        <v>11</v>
      </c>
      <c r="M620" s="5" t="s">
        <v>57</v>
      </c>
      <c r="N620" s="5" t="s">
        <v>58</v>
      </c>
      <c r="O620" s="5" t="s">
        <v>42</v>
      </c>
      <c r="P620" s="5" t="s">
        <v>15</v>
      </c>
      <c r="Q620" s="5" t="s">
        <v>17</v>
      </c>
      <c r="R620" s="5" t="s">
        <v>43</v>
      </c>
      <c r="S620" s="5" t="s">
        <v>21</v>
      </c>
      <c r="T620" s="6" t="s">
        <v>23</v>
      </c>
      <c r="U620" s="6">
        <v>1</v>
      </c>
      <c r="V620" s="6" t="s">
        <v>117</v>
      </c>
      <c r="W620" s="6">
        <v>1</v>
      </c>
      <c r="X620" s="6" t="s">
        <v>46</v>
      </c>
      <c r="Y620">
        <v>0</v>
      </c>
      <c r="Z620" s="5" t="s">
        <v>46</v>
      </c>
      <c r="AA620" s="5" t="s">
        <v>46</v>
      </c>
      <c r="AB620" s="5" t="s">
        <v>35</v>
      </c>
    </row>
    <row r="621" spans="1:28" x14ac:dyDescent="0.35">
      <c r="A621" s="8" t="s">
        <v>1007</v>
      </c>
      <c r="B621" s="5" t="s">
        <v>681</v>
      </c>
      <c r="C621">
        <v>1959</v>
      </c>
      <c r="D621">
        <f t="shared" ca="1" si="20"/>
        <v>66</v>
      </c>
      <c r="E621" s="5" t="s">
        <v>6</v>
      </c>
      <c r="F621" t="s">
        <v>29</v>
      </c>
      <c r="G621" s="4" t="str">
        <f t="shared" si="21"/>
        <v>&lt;500.000</v>
      </c>
      <c r="H621" t="s">
        <v>30</v>
      </c>
      <c r="I621">
        <v>0</v>
      </c>
      <c r="J621" t="s">
        <v>8</v>
      </c>
      <c r="K621" s="5" t="s">
        <v>114</v>
      </c>
      <c r="L621" s="5" t="s">
        <v>11</v>
      </c>
      <c r="M621" s="5" t="s">
        <v>57</v>
      </c>
      <c r="N621" s="5" t="s">
        <v>58</v>
      </c>
      <c r="O621" s="5" t="s">
        <v>42</v>
      </c>
      <c r="P621" s="5" t="s">
        <v>15</v>
      </c>
      <c r="Q621" s="5" t="s">
        <v>17</v>
      </c>
      <c r="R621" s="5" t="s">
        <v>43</v>
      </c>
      <c r="S621" s="5" t="s">
        <v>21</v>
      </c>
      <c r="T621" s="6" t="s">
        <v>73</v>
      </c>
      <c r="U621" s="6">
        <v>0</v>
      </c>
      <c r="V621" s="6" t="s">
        <v>73</v>
      </c>
      <c r="W621" s="6">
        <v>0</v>
      </c>
      <c r="X621" s="6" t="s">
        <v>46</v>
      </c>
      <c r="Y621">
        <v>0</v>
      </c>
      <c r="Z621" s="5" t="s">
        <v>46</v>
      </c>
      <c r="AA621" s="5" t="s">
        <v>44</v>
      </c>
      <c r="AB621" s="5" t="s">
        <v>35</v>
      </c>
    </row>
    <row r="622" spans="1:28" x14ac:dyDescent="0.35">
      <c r="A622" s="8" t="s">
        <v>1008</v>
      </c>
      <c r="B622" s="5" t="s">
        <v>682</v>
      </c>
      <c r="C622">
        <v>1959</v>
      </c>
      <c r="D622">
        <f t="shared" ca="1" si="20"/>
        <v>66</v>
      </c>
      <c r="E622" s="5" t="s">
        <v>6</v>
      </c>
      <c r="F622" t="s">
        <v>29</v>
      </c>
      <c r="G622" s="4" t="str">
        <f t="shared" si="21"/>
        <v>&lt;500.000</v>
      </c>
      <c r="H622" t="s">
        <v>30</v>
      </c>
      <c r="I622">
        <v>0</v>
      </c>
      <c r="J622" t="s">
        <v>8</v>
      </c>
      <c r="K622" s="5" t="s">
        <v>38</v>
      </c>
      <c r="L622" s="5" t="s">
        <v>11</v>
      </c>
      <c r="M622" s="5" t="s">
        <v>40</v>
      </c>
      <c r="N622" s="5" t="s">
        <v>37</v>
      </c>
      <c r="O622" s="5" t="s">
        <v>42</v>
      </c>
      <c r="P622" s="5" t="s">
        <v>15</v>
      </c>
      <c r="Q622" s="5" t="s">
        <v>17</v>
      </c>
      <c r="R622" s="5" t="s">
        <v>43</v>
      </c>
      <c r="S622" s="5" t="s">
        <v>21</v>
      </c>
      <c r="T622" s="6" t="s">
        <v>73</v>
      </c>
      <c r="U622" s="6">
        <v>0</v>
      </c>
      <c r="V622" s="6" t="s">
        <v>117</v>
      </c>
      <c r="W622" s="6">
        <v>1</v>
      </c>
      <c r="X622" s="6" t="s">
        <v>46</v>
      </c>
      <c r="Y622">
        <v>0</v>
      </c>
      <c r="Z622" s="5" t="s">
        <v>46</v>
      </c>
      <c r="AA622" s="5" t="s">
        <v>44</v>
      </c>
      <c r="AB622" s="5" t="s">
        <v>74</v>
      </c>
    </row>
    <row r="623" spans="1:28" x14ac:dyDescent="0.35">
      <c r="A623" s="8" t="s">
        <v>1009</v>
      </c>
      <c r="B623" s="5" t="s">
        <v>683</v>
      </c>
      <c r="C623">
        <v>1960</v>
      </c>
      <c r="D623">
        <f t="shared" ca="1" si="20"/>
        <v>65</v>
      </c>
      <c r="E623" s="5" t="s">
        <v>6</v>
      </c>
      <c r="F623" t="s">
        <v>29</v>
      </c>
      <c r="G623" s="4" t="str">
        <f t="shared" si="21"/>
        <v>500.000–1.000.000</v>
      </c>
      <c r="H623" t="s">
        <v>7</v>
      </c>
      <c r="I623">
        <v>0</v>
      </c>
      <c r="J623" t="s">
        <v>8</v>
      </c>
      <c r="K623" s="5" t="s">
        <v>38</v>
      </c>
      <c r="L623" s="5" t="s">
        <v>11</v>
      </c>
      <c r="M623" s="5" t="s">
        <v>57</v>
      </c>
      <c r="N623" s="5" t="s">
        <v>58</v>
      </c>
      <c r="O623" s="5" t="s">
        <v>42</v>
      </c>
      <c r="P623" s="5" t="s">
        <v>15</v>
      </c>
      <c r="Q623" s="5" t="s">
        <v>17</v>
      </c>
      <c r="R623" s="5" t="s">
        <v>43</v>
      </c>
      <c r="S623" s="5" t="s">
        <v>21</v>
      </c>
      <c r="T623" s="6" t="s">
        <v>84</v>
      </c>
      <c r="U623" s="6">
        <v>1</v>
      </c>
      <c r="V623" s="6" t="s">
        <v>26</v>
      </c>
      <c r="W623" s="6">
        <v>1</v>
      </c>
      <c r="X623" s="6" t="s">
        <v>46</v>
      </c>
      <c r="Y623">
        <v>0</v>
      </c>
      <c r="Z623" s="5" t="s">
        <v>46</v>
      </c>
      <c r="AA623" s="5" t="s">
        <v>44</v>
      </c>
      <c r="AB623" s="5" t="s">
        <v>46</v>
      </c>
    </row>
    <row r="624" spans="1:28" x14ac:dyDescent="0.35">
      <c r="A624" s="8" t="s">
        <v>1010</v>
      </c>
      <c r="B624" s="5" t="s">
        <v>248</v>
      </c>
      <c r="C624">
        <v>1967</v>
      </c>
      <c r="D624">
        <f t="shared" ca="1" si="20"/>
        <v>58</v>
      </c>
      <c r="E624" s="5" t="s">
        <v>6</v>
      </c>
      <c r="F624" t="s">
        <v>162</v>
      </c>
      <c r="G624" s="4" t="str">
        <f t="shared" si="21"/>
        <v>1.000.000–2.000.000</v>
      </c>
      <c r="H624" t="s">
        <v>63</v>
      </c>
      <c r="I624">
        <v>1</v>
      </c>
      <c r="J624" t="s">
        <v>8</v>
      </c>
      <c r="K624" s="5" t="s">
        <v>114</v>
      </c>
      <c r="L624" s="5" t="s">
        <v>11</v>
      </c>
      <c r="M624" s="5" t="s">
        <v>57</v>
      </c>
      <c r="N624" s="5" t="s">
        <v>58</v>
      </c>
      <c r="O624" s="5" t="s">
        <v>89</v>
      </c>
      <c r="P624" s="5" t="s">
        <v>15</v>
      </c>
      <c r="Q624" s="5" t="s">
        <v>17</v>
      </c>
      <c r="R624" s="5" t="s">
        <v>43</v>
      </c>
      <c r="S624" s="5" t="s">
        <v>21</v>
      </c>
      <c r="T624" s="6" t="s">
        <v>73</v>
      </c>
      <c r="U624" s="6">
        <v>0</v>
      </c>
      <c r="V624" s="6" t="s">
        <v>73</v>
      </c>
      <c r="W624" s="6">
        <v>0</v>
      </c>
      <c r="X624" s="6" t="s">
        <v>46</v>
      </c>
      <c r="Y624">
        <v>0</v>
      </c>
      <c r="Z624" s="5" t="s">
        <v>46</v>
      </c>
      <c r="AA624" s="5" t="s">
        <v>46</v>
      </c>
      <c r="AB624" s="5" t="s">
        <v>46</v>
      </c>
    </row>
    <row r="625" spans="1:28" x14ac:dyDescent="0.35">
      <c r="A625" s="8" t="s">
        <v>1011</v>
      </c>
      <c r="B625" s="5" t="s">
        <v>684</v>
      </c>
      <c r="C625">
        <v>1973</v>
      </c>
      <c r="D625">
        <f t="shared" ca="1" si="20"/>
        <v>52</v>
      </c>
      <c r="E625" s="5" t="s">
        <v>28</v>
      </c>
      <c r="F625" t="s">
        <v>29</v>
      </c>
      <c r="G625" s="4" t="str">
        <f t="shared" si="21"/>
        <v>&lt;500.000</v>
      </c>
      <c r="H625" t="s">
        <v>63</v>
      </c>
      <c r="I625">
        <v>1</v>
      </c>
      <c r="J625" t="s">
        <v>8</v>
      </c>
      <c r="K625" s="5" t="s">
        <v>114</v>
      </c>
      <c r="L625" s="5" t="s">
        <v>11</v>
      </c>
      <c r="M625" s="5" t="s">
        <v>57</v>
      </c>
      <c r="N625" s="5" t="s">
        <v>58</v>
      </c>
      <c r="O625" s="5" t="s">
        <v>89</v>
      </c>
      <c r="P625" s="5" t="s">
        <v>15</v>
      </c>
      <c r="Q625" s="5" t="s">
        <v>17</v>
      </c>
      <c r="R625" s="5" t="s">
        <v>43</v>
      </c>
      <c r="S625" s="5" t="s">
        <v>21</v>
      </c>
      <c r="T625" s="6" t="s">
        <v>73</v>
      </c>
      <c r="U625" s="6">
        <v>0</v>
      </c>
      <c r="V625" s="6" t="s">
        <v>73</v>
      </c>
      <c r="W625" s="6">
        <v>0</v>
      </c>
      <c r="X625" s="6" t="s">
        <v>46</v>
      </c>
      <c r="Y625">
        <v>0</v>
      </c>
      <c r="Z625" s="5" t="s">
        <v>46</v>
      </c>
      <c r="AA625" s="5" t="s">
        <v>46</v>
      </c>
      <c r="AB625" s="5" t="s">
        <v>46</v>
      </c>
    </row>
    <row r="626" spans="1:28" x14ac:dyDescent="0.35">
      <c r="A626" s="8" t="s">
        <v>1012</v>
      </c>
      <c r="B626" s="5" t="s">
        <v>685</v>
      </c>
      <c r="C626">
        <v>1980</v>
      </c>
      <c r="D626">
        <f t="shared" ca="1" si="20"/>
        <v>45</v>
      </c>
      <c r="E626" s="5" t="s">
        <v>6</v>
      </c>
      <c r="F626" t="s">
        <v>29</v>
      </c>
      <c r="G626" s="4" t="str">
        <f t="shared" si="21"/>
        <v>&lt;500.000</v>
      </c>
      <c r="H626" t="s">
        <v>63</v>
      </c>
      <c r="I626">
        <v>1</v>
      </c>
      <c r="J626" t="s">
        <v>48</v>
      </c>
      <c r="K626" s="5" t="s">
        <v>38</v>
      </c>
      <c r="L626" s="5" t="s">
        <v>49</v>
      </c>
      <c r="M626" s="5" t="s">
        <v>57</v>
      </c>
      <c r="N626" s="5" t="s">
        <v>58</v>
      </c>
      <c r="O626" s="5" t="s">
        <v>42</v>
      </c>
      <c r="P626" s="5" t="s">
        <v>15</v>
      </c>
      <c r="Q626" s="5" t="s">
        <v>17</v>
      </c>
      <c r="R626" s="5" t="s">
        <v>43</v>
      </c>
      <c r="S626" s="5" t="s">
        <v>21</v>
      </c>
      <c r="T626" s="6" t="s">
        <v>23</v>
      </c>
      <c r="U626" s="6">
        <v>1</v>
      </c>
      <c r="V626" s="6" t="s">
        <v>76</v>
      </c>
      <c r="W626" s="6">
        <v>1</v>
      </c>
      <c r="X626" s="6" t="s">
        <v>46</v>
      </c>
      <c r="Y626">
        <v>0</v>
      </c>
      <c r="Z626" s="5" t="s">
        <v>46</v>
      </c>
      <c r="AA626" s="5" t="s">
        <v>46</v>
      </c>
      <c r="AB626" s="5" t="s">
        <v>46</v>
      </c>
    </row>
    <row r="627" spans="1:28" x14ac:dyDescent="0.35">
      <c r="A627" s="8" t="s">
        <v>1013</v>
      </c>
      <c r="B627" s="5" t="s">
        <v>686</v>
      </c>
      <c r="C627">
        <v>1954</v>
      </c>
      <c r="D627">
        <f t="shared" ca="1" si="20"/>
        <v>71</v>
      </c>
      <c r="E627" s="5" t="s">
        <v>6</v>
      </c>
      <c r="F627" t="s">
        <v>55</v>
      </c>
      <c r="G627" s="4" t="str">
        <f t="shared" si="21"/>
        <v>500.000–1.000.000</v>
      </c>
      <c r="H627" t="s">
        <v>30</v>
      </c>
      <c r="I627">
        <v>2</v>
      </c>
      <c r="J627" t="s">
        <v>8</v>
      </c>
      <c r="K627" s="5" t="s">
        <v>114</v>
      </c>
      <c r="L627" s="5" t="s">
        <v>11</v>
      </c>
      <c r="M627" s="5" t="s">
        <v>57</v>
      </c>
      <c r="N627" s="5" t="s">
        <v>58</v>
      </c>
      <c r="O627" s="5" t="s">
        <v>42</v>
      </c>
      <c r="P627" s="5" t="s">
        <v>15</v>
      </c>
      <c r="Q627" s="5" t="s">
        <v>17</v>
      </c>
      <c r="R627" s="5" t="s">
        <v>43</v>
      </c>
      <c r="S627" s="5" t="s">
        <v>21</v>
      </c>
      <c r="T627" s="6" t="s">
        <v>84</v>
      </c>
      <c r="U627" s="6">
        <v>1</v>
      </c>
      <c r="V627" s="6" t="s">
        <v>26</v>
      </c>
      <c r="W627" s="6">
        <v>1</v>
      </c>
      <c r="X627" s="6" t="s">
        <v>46</v>
      </c>
      <c r="Y627">
        <v>2</v>
      </c>
      <c r="Z627" s="5" t="s">
        <v>46</v>
      </c>
      <c r="AA627" s="5" t="s">
        <v>64</v>
      </c>
      <c r="AB627" s="5" t="s">
        <v>46</v>
      </c>
    </row>
    <row r="628" spans="1:28" x14ac:dyDescent="0.35">
      <c r="A628" s="8" t="s">
        <v>1014</v>
      </c>
      <c r="B628" s="5" t="s">
        <v>687</v>
      </c>
      <c r="C628">
        <v>1960</v>
      </c>
      <c r="D628">
        <f t="shared" ca="1" si="20"/>
        <v>65</v>
      </c>
      <c r="E628" s="5" t="s">
        <v>28</v>
      </c>
      <c r="F628" t="s">
        <v>29</v>
      </c>
      <c r="G628" s="4" t="str">
        <f t="shared" si="21"/>
        <v>500.000–1.000.000</v>
      </c>
      <c r="H628" t="s">
        <v>7</v>
      </c>
      <c r="I628">
        <v>2</v>
      </c>
      <c r="J628" t="s">
        <v>8</v>
      </c>
      <c r="K628" s="5" t="s">
        <v>114</v>
      </c>
      <c r="L628" s="5" t="s">
        <v>11</v>
      </c>
      <c r="M628" s="5" t="s">
        <v>57</v>
      </c>
      <c r="N628" s="5" t="s">
        <v>58</v>
      </c>
      <c r="O628" s="5" t="s">
        <v>42</v>
      </c>
      <c r="P628" s="5" t="s">
        <v>15</v>
      </c>
      <c r="Q628" s="5" t="s">
        <v>17</v>
      </c>
      <c r="R628" s="5" t="s">
        <v>43</v>
      </c>
      <c r="S628" s="5" t="s">
        <v>21</v>
      </c>
      <c r="T628" s="6" t="s">
        <v>84</v>
      </c>
      <c r="U628" s="6">
        <v>1</v>
      </c>
      <c r="V628" s="6" t="s">
        <v>26</v>
      </c>
      <c r="W628" s="6">
        <v>1</v>
      </c>
      <c r="X628" s="6" t="s">
        <v>46</v>
      </c>
      <c r="Y628">
        <v>2</v>
      </c>
      <c r="Z628" s="5" t="s">
        <v>46</v>
      </c>
      <c r="AA628" s="5" t="s">
        <v>64</v>
      </c>
      <c r="AB628" s="5" t="s">
        <v>46</v>
      </c>
    </row>
    <row r="629" spans="1:28" x14ac:dyDescent="0.35">
      <c r="A629" s="8" t="s">
        <v>1015</v>
      </c>
      <c r="B629" s="5" t="s">
        <v>688</v>
      </c>
      <c r="C629">
        <v>1993</v>
      </c>
      <c r="D629">
        <f t="shared" ca="1" si="20"/>
        <v>32</v>
      </c>
      <c r="E629" s="5" t="s">
        <v>6</v>
      </c>
      <c r="F629" t="s">
        <v>29</v>
      </c>
      <c r="G629" s="4" t="str">
        <f t="shared" si="21"/>
        <v>&lt;500.000</v>
      </c>
      <c r="H629" t="s">
        <v>63</v>
      </c>
      <c r="I629">
        <v>0</v>
      </c>
      <c r="J629" t="s">
        <v>8</v>
      </c>
      <c r="K629" s="5" t="s">
        <v>38</v>
      </c>
      <c r="L629" s="5" t="s">
        <v>11</v>
      </c>
      <c r="M629" s="5" t="s">
        <v>57</v>
      </c>
      <c r="N629" s="5" t="s">
        <v>58</v>
      </c>
      <c r="O629" s="5" t="s">
        <v>89</v>
      </c>
      <c r="P629" s="5" t="s">
        <v>15</v>
      </c>
      <c r="Q629" s="5" t="s">
        <v>17</v>
      </c>
      <c r="R629" s="5" t="s">
        <v>43</v>
      </c>
      <c r="S629" s="5" t="s">
        <v>21</v>
      </c>
      <c r="T629" s="6" t="s">
        <v>73</v>
      </c>
      <c r="U629" s="6">
        <v>0</v>
      </c>
      <c r="V629" s="6" t="s">
        <v>73</v>
      </c>
      <c r="W629" s="6">
        <v>0</v>
      </c>
      <c r="X629" s="6" t="s">
        <v>46</v>
      </c>
      <c r="Y629">
        <v>0</v>
      </c>
      <c r="Z629" s="5" t="s">
        <v>46</v>
      </c>
      <c r="AA629" s="5" t="s">
        <v>46</v>
      </c>
      <c r="AB629" s="5" t="s">
        <v>46</v>
      </c>
    </row>
    <row r="630" spans="1:28" x14ac:dyDescent="0.35">
      <c r="A630" s="8" t="s">
        <v>1016</v>
      </c>
      <c r="B630" s="5" t="s">
        <v>689</v>
      </c>
      <c r="C630">
        <v>1967</v>
      </c>
      <c r="D630">
        <f t="shared" ca="1" si="20"/>
        <v>58</v>
      </c>
      <c r="E630" s="5" t="s">
        <v>6</v>
      </c>
      <c r="F630" t="s">
        <v>151</v>
      </c>
      <c r="G630" s="4" t="str">
        <f t="shared" si="21"/>
        <v>500.000–1.000.000</v>
      </c>
      <c r="H630" t="s">
        <v>30</v>
      </c>
      <c r="I630">
        <v>1</v>
      </c>
      <c r="J630" t="s">
        <v>8</v>
      </c>
      <c r="K630" s="5" t="s">
        <v>114</v>
      </c>
      <c r="L630" s="5" t="s">
        <v>11</v>
      </c>
      <c r="M630" s="5" t="s">
        <v>57</v>
      </c>
      <c r="N630" s="5" t="s">
        <v>58</v>
      </c>
      <c r="O630" s="5" t="s">
        <v>42</v>
      </c>
      <c r="P630" s="5" t="s">
        <v>15</v>
      </c>
      <c r="Q630" s="5" t="s">
        <v>17</v>
      </c>
      <c r="R630" s="5" t="s">
        <v>43</v>
      </c>
      <c r="S630" s="5" t="s">
        <v>21</v>
      </c>
      <c r="T630" s="6" t="s">
        <v>23</v>
      </c>
      <c r="U630" s="6">
        <v>1</v>
      </c>
      <c r="V630" s="6" t="s">
        <v>26</v>
      </c>
      <c r="W630" s="6">
        <v>1</v>
      </c>
      <c r="X630" s="6" t="s">
        <v>46</v>
      </c>
      <c r="Y630">
        <v>0</v>
      </c>
      <c r="Z630" s="5" t="s">
        <v>46</v>
      </c>
      <c r="AA630" s="5" t="s">
        <v>46</v>
      </c>
      <c r="AB630" s="5" t="s">
        <v>46</v>
      </c>
    </row>
    <row r="631" spans="1:28" x14ac:dyDescent="0.35">
      <c r="A631" s="8" t="s">
        <v>1017</v>
      </c>
      <c r="B631" s="5" t="s">
        <v>690</v>
      </c>
      <c r="C631">
        <v>1975</v>
      </c>
      <c r="D631">
        <f t="shared" ca="1" si="20"/>
        <v>50</v>
      </c>
      <c r="E631" s="5" t="s">
        <v>28</v>
      </c>
      <c r="F631" t="s">
        <v>29</v>
      </c>
      <c r="G631" s="4" t="str">
        <f t="shared" si="21"/>
        <v>500.000–1.000.000</v>
      </c>
      <c r="H631" t="s">
        <v>139</v>
      </c>
      <c r="I631">
        <v>1</v>
      </c>
      <c r="J631" t="s">
        <v>8</v>
      </c>
      <c r="K631" s="5" t="s">
        <v>114</v>
      </c>
      <c r="L631" s="5" t="s">
        <v>11</v>
      </c>
      <c r="M631" s="5" t="s">
        <v>57</v>
      </c>
      <c r="N631" s="5" t="s">
        <v>58</v>
      </c>
      <c r="O631" s="5" t="s">
        <v>42</v>
      </c>
      <c r="P631" s="5" t="s">
        <v>15</v>
      </c>
      <c r="Q631" s="5" t="s">
        <v>17</v>
      </c>
      <c r="R631" s="5" t="s">
        <v>43</v>
      </c>
      <c r="S631" s="5" t="s">
        <v>21</v>
      </c>
      <c r="T631" s="6" t="s">
        <v>23</v>
      </c>
      <c r="U631" s="6">
        <v>1</v>
      </c>
      <c r="V631" s="6" t="s">
        <v>26</v>
      </c>
      <c r="W631" s="6">
        <v>1</v>
      </c>
      <c r="X631" s="6" t="s">
        <v>46</v>
      </c>
      <c r="Y631">
        <v>0</v>
      </c>
      <c r="Z631" s="5" t="s">
        <v>46</v>
      </c>
      <c r="AA631" s="5" t="s">
        <v>46</v>
      </c>
      <c r="AB631" s="5" t="s">
        <v>74</v>
      </c>
    </row>
    <row r="632" spans="1:28" x14ac:dyDescent="0.35">
      <c r="A632" s="8" t="s">
        <v>1018</v>
      </c>
      <c r="B632" s="5" t="s">
        <v>691</v>
      </c>
      <c r="C632">
        <v>1984</v>
      </c>
      <c r="D632">
        <f t="shared" ca="1" si="20"/>
        <v>41</v>
      </c>
      <c r="E632" s="5" t="s">
        <v>6</v>
      </c>
      <c r="F632" t="s">
        <v>29</v>
      </c>
      <c r="G632" s="4" t="str">
        <f t="shared" si="21"/>
        <v>500.000–1.000.000</v>
      </c>
      <c r="H632" t="s">
        <v>7</v>
      </c>
      <c r="I632">
        <v>0</v>
      </c>
      <c r="J632" t="s">
        <v>8</v>
      </c>
      <c r="K632" s="5" t="s">
        <v>114</v>
      </c>
      <c r="L632" s="5" t="s">
        <v>11</v>
      </c>
      <c r="M632" s="5" t="s">
        <v>57</v>
      </c>
      <c r="N632" s="5" t="s">
        <v>58</v>
      </c>
      <c r="O632" s="5" t="s">
        <v>42</v>
      </c>
      <c r="P632" s="5" t="s">
        <v>15</v>
      </c>
      <c r="Q632" s="5" t="s">
        <v>17</v>
      </c>
      <c r="R632" s="5" t="s">
        <v>43</v>
      </c>
      <c r="S632" s="5" t="s">
        <v>21</v>
      </c>
      <c r="T632" s="6" t="s">
        <v>23</v>
      </c>
      <c r="U632" s="6">
        <v>1</v>
      </c>
      <c r="V632" s="6" t="s">
        <v>117</v>
      </c>
      <c r="W632" s="6">
        <v>1</v>
      </c>
      <c r="X632" s="6" t="s">
        <v>46</v>
      </c>
      <c r="Y632">
        <v>0</v>
      </c>
      <c r="Z632" s="5" t="s">
        <v>46</v>
      </c>
      <c r="AA632" s="5" t="s">
        <v>46</v>
      </c>
      <c r="AB632" s="5" t="s">
        <v>35</v>
      </c>
    </row>
    <row r="633" spans="1:28" x14ac:dyDescent="0.35">
      <c r="A633" s="8" t="s">
        <v>1019</v>
      </c>
      <c r="B633" s="5" t="s">
        <v>692</v>
      </c>
      <c r="C633">
        <v>1983</v>
      </c>
      <c r="D633">
        <f t="shared" ca="1" si="20"/>
        <v>42</v>
      </c>
      <c r="E633" s="5" t="s">
        <v>6</v>
      </c>
      <c r="F633" t="s">
        <v>29</v>
      </c>
      <c r="G633" s="4" t="str">
        <f t="shared" si="21"/>
        <v>&lt;500.000</v>
      </c>
      <c r="H633" t="s">
        <v>63</v>
      </c>
      <c r="I633">
        <v>1</v>
      </c>
      <c r="J633" t="s">
        <v>48</v>
      </c>
      <c r="K633" s="5" t="s">
        <v>38</v>
      </c>
      <c r="L633" s="5" t="s">
        <v>11</v>
      </c>
      <c r="M633" s="5" t="s">
        <v>40</v>
      </c>
      <c r="N633" s="5" t="s">
        <v>37</v>
      </c>
      <c r="O633" s="5" t="s">
        <v>42</v>
      </c>
      <c r="P633" s="5" t="s">
        <v>133</v>
      </c>
      <c r="Q633" s="5" t="s">
        <v>17</v>
      </c>
      <c r="R633" s="5" t="s">
        <v>43</v>
      </c>
      <c r="S633" s="5" t="s">
        <v>21</v>
      </c>
      <c r="T633" s="6" t="s">
        <v>73</v>
      </c>
      <c r="U633" s="6">
        <v>0</v>
      </c>
      <c r="V633" s="6" t="s">
        <v>76</v>
      </c>
      <c r="W633" s="6">
        <v>1</v>
      </c>
      <c r="X633" s="6" t="s">
        <v>46</v>
      </c>
      <c r="Y633">
        <v>0</v>
      </c>
      <c r="Z633" s="5" t="s">
        <v>46</v>
      </c>
      <c r="AA633" s="5" t="s">
        <v>46</v>
      </c>
      <c r="AB633" s="5" t="s">
        <v>46</v>
      </c>
    </row>
    <row r="634" spans="1:28" x14ac:dyDescent="0.35">
      <c r="A634" s="8" t="s">
        <v>1020</v>
      </c>
      <c r="B634" s="5" t="s">
        <v>693</v>
      </c>
      <c r="C634">
        <v>1964</v>
      </c>
      <c r="D634">
        <f t="shared" ca="1" si="20"/>
        <v>61</v>
      </c>
      <c r="E634" s="5" t="s">
        <v>6</v>
      </c>
      <c r="F634" t="s">
        <v>54</v>
      </c>
      <c r="G634" s="4" t="str">
        <f t="shared" si="21"/>
        <v>1.000.000–2.000.000</v>
      </c>
      <c r="H634" t="s">
        <v>139</v>
      </c>
      <c r="I634">
        <v>0</v>
      </c>
      <c r="J634" t="s">
        <v>8</v>
      </c>
      <c r="K634" s="5" t="s">
        <v>114</v>
      </c>
      <c r="L634" s="5" t="s">
        <v>11</v>
      </c>
      <c r="M634" s="5" t="s">
        <v>57</v>
      </c>
      <c r="N634" s="5" t="s">
        <v>58</v>
      </c>
      <c r="O634" s="5" t="s">
        <v>42</v>
      </c>
      <c r="P634" s="5" t="s">
        <v>15</v>
      </c>
      <c r="Q634" s="5" t="s">
        <v>17</v>
      </c>
      <c r="R634" s="5" t="s">
        <v>43</v>
      </c>
      <c r="S634" s="5" t="s">
        <v>21</v>
      </c>
      <c r="T634" s="6" t="s">
        <v>23</v>
      </c>
      <c r="U634" s="6">
        <v>1</v>
      </c>
      <c r="V634" s="6" t="s">
        <v>26</v>
      </c>
      <c r="W634" s="6">
        <v>1</v>
      </c>
      <c r="X634" s="6" t="s">
        <v>46</v>
      </c>
      <c r="Y634">
        <v>0</v>
      </c>
      <c r="Z634" s="5" t="s">
        <v>46</v>
      </c>
      <c r="AA634" s="5" t="s">
        <v>44</v>
      </c>
      <c r="AB634" s="5" t="s">
        <v>74</v>
      </c>
    </row>
    <row r="635" spans="1:28" x14ac:dyDescent="0.35">
      <c r="A635" s="8" t="s">
        <v>1021</v>
      </c>
      <c r="B635" s="5" t="s">
        <v>694</v>
      </c>
      <c r="C635">
        <v>1966</v>
      </c>
      <c r="D635">
        <f t="shared" ca="1" si="20"/>
        <v>59</v>
      </c>
      <c r="E635" s="5" t="s">
        <v>28</v>
      </c>
      <c r="F635" t="s">
        <v>29</v>
      </c>
      <c r="G635" s="4" t="str">
        <f t="shared" si="21"/>
        <v>&lt;500.000</v>
      </c>
      <c r="H635" t="s">
        <v>30</v>
      </c>
      <c r="I635">
        <v>0</v>
      </c>
      <c r="J635" t="s">
        <v>8</v>
      </c>
      <c r="K635" s="5" t="s">
        <v>114</v>
      </c>
      <c r="L635" s="5" t="s">
        <v>11</v>
      </c>
      <c r="M635" s="5" t="s">
        <v>57</v>
      </c>
      <c r="N635" s="5" t="s">
        <v>58</v>
      </c>
      <c r="O635" s="5" t="s">
        <v>42</v>
      </c>
      <c r="P635" s="5" t="s">
        <v>15</v>
      </c>
      <c r="Q635" s="5" t="s">
        <v>17</v>
      </c>
      <c r="R635" s="5" t="s">
        <v>43</v>
      </c>
      <c r="S635" s="5" t="s">
        <v>21</v>
      </c>
      <c r="T635" s="6" t="s">
        <v>23</v>
      </c>
      <c r="U635" s="6">
        <v>1</v>
      </c>
      <c r="V635" s="6" t="s">
        <v>26</v>
      </c>
      <c r="W635" s="6">
        <v>1</v>
      </c>
      <c r="X635" s="6" t="s">
        <v>46</v>
      </c>
      <c r="Y635">
        <v>0</v>
      </c>
      <c r="Z635" s="5" t="s">
        <v>46</v>
      </c>
      <c r="AA635" s="5" t="s">
        <v>44</v>
      </c>
      <c r="AB635" s="5" t="s">
        <v>74</v>
      </c>
    </row>
    <row r="636" spans="1:28" x14ac:dyDescent="0.35">
      <c r="A636" s="8" t="s">
        <v>1022</v>
      </c>
      <c r="B636" s="5" t="s">
        <v>695</v>
      </c>
      <c r="C636">
        <v>1967</v>
      </c>
      <c r="D636">
        <f t="shared" ca="1" si="20"/>
        <v>58</v>
      </c>
      <c r="E636" s="5" t="s">
        <v>6</v>
      </c>
      <c r="F636" t="s">
        <v>137</v>
      </c>
      <c r="G636" s="4" t="str">
        <f t="shared" si="21"/>
        <v>500.000–1.000.000</v>
      </c>
      <c r="H636" t="s">
        <v>30</v>
      </c>
      <c r="I636">
        <v>0</v>
      </c>
      <c r="J636" t="s">
        <v>8</v>
      </c>
      <c r="K636" s="5" t="s">
        <v>38</v>
      </c>
      <c r="L636" s="5" t="s">
        <v>49</v>
      </c>
      <c r="M636" s="5" t="s">
        <v>57</v>
      </c>
      <c r="N636" s="5" t="s">
        <v>58</v>
      </c>
      <c r="O636" s="5" t="s">
        <v>42</v>
      </c>
      <c r="P636" s="5" t="s">
        <v>15</v>
      </c>
      <c r="Q636" s="5" t="s">
        <v>17</v>
      </c>
      <c r="R636" s="5" t="s">
        <v>43</v>
      </c>
      <c r="S636" s="5" t="s">
        <v>21</v>
      </c>
      <c r="T636" s="6" t="s">
        <v>73</v>
      </c>
      <c r="U636" s="6">
        <v>0</v>
      </c>
      <c r="V636" s="6" t="s">
        <v>73</v>
      </c>
      <c r="W636" s="6">
        <v>0</v>
      </c>
      <c r="X636" s="6" t="s">
        <v>44</v>
      </c>
      <c r="Y636">
        <v>0</v>
      </c>
      <c r="Z636" s="5" t="s">
        <v>46</v>
      </c>
      <c r="AA636" s="5" t="s">
        <v>46</v>
      </c>
      <c r="AB636" s="5" t="s">
        <v>35</v>
      </c>
    </row>
    <row r="637" spans="1:28" x14ac:dyDescent="0.35">
      <c r="A637" s="8" t="s">
        <v>1023</v>
      </c>
      <c r="B637" s="5" t="s">
        <v>696</v>
      </c>
      <c r="C637">
        <v>1976</v>
      </c>
      <c r="D637">
        <f t="shared" ca="1" si="20"/>
        <v>49</v>
      </c>
      <c r="E637" s="5" t="s">
        <v>6</v>
      </c>
      <c r="F637" t="s">
        <v>54</v>
      </c>
      <c r="G637" s="4" t="str">
        <f t="shared" si="21"/>
        <v>1.000.000–2.000.000</v>
      </c>
      <c r="H637" t="s">
        <v>139</v>
      </c>
      <c r="I637">
        <v>3</v>
      </c>
      <c r="J637" t="s">
        <v>8</v>
      </c>
      <c r="K637" s="5" t="s">
        <v>38</v>
      </c>
      <c r="L637" s="5" t="s">
        <v>11</v>
      </c>
      <c r="M637" s="5" t="s">
        <v>57</v>
      </c>
      <c r="N637" s="5" t="s">
        <v>58</v>
      </c>
      <c r="O637" s="5" t="s">
        <v>42</v>
      </c>
      <c r="P637" s="5" t="s">
        <v>15</v>
      </c>
      <c r="Q637" s="5" t="s">
        <v>17</v>
      </c>
      <c r="R637" s="5" t="s">
        <v>43</v>
      </c>
      <c r="S637" s="5" t="s">
        <v>21</v>
      </c>
      <c r="T637" s="6" t="s">
        <v>84</v>
      </c>
      <c r="U637" s="6">
        <v>1</v>
      </c>
      <c r="V637" s="6" t="s">
        <v>26</v>
      </c>
      <c r="W637" s="6">
        <v>1</v>
      </c>
      <c r="X637" s="6" t="s">
        <v>46</v>
      </c>
      <c r="Y637">
        <v>2</v>
      </c>
      <c r="Z637" s="5" t="s">
        <v>46</v>
      </c>
      <c r="AA637" s="5" t="s">
        <v>46</v>
      </c>
      <c r="AB637" s="5" t="s">
        <v>46</v>
      </c>
    </row>
    <row r="638" spans="1:28" x14ac:dyDescent="0.35">
      <c r="A638" s="8" t="s">
        <v>1024</v>
      </c>
      <c r="B638" s="5" t="s">
        <v>697</v>
      </c>
      <c r="C638">
        <v>1978</v>
      </c>
      <c r="D638">
        <f t="shared" ca="1" si="20"/>
        <v>47</v>
      </c>
      <c r="E638" s="5" t="s">
        <v>28</v>
      </c>
      <c r="F638" t="s">
        <v>54</v>
      </c>
      <c r="G638" s="4" t="str">
        <f t="shared" si="21"/>
        <v>1.000.000–2.000.000</v>
      </c>
      <c r="H638" t="s">
        <v>139</v>
      </c>
      <c r="I638">
        <v>3</v>
      </c>
      <c r="J638" t="s">
        <v>8</v>
      </c>
      <c r="K638" s="5" t="s">
        <v>38</v>
      </c>
      <c r="L638" s="5" t="s">
        <v>11</v>
      </c>
      <c r="M638" s="5" t="s">
        <v>57</v>
      </c>
      <c r="N638" s="5" t="s">
        <v>58</v>
      </c>
      <c r="O638" s="5" t="s">
        <v>42</v>
      </c>
      <c r="P638" s="5" t="s">
        <v>15</v>
      </c>
      <c r="Q638" s="5" t="s">
        <v>17</v>
      </c>
      <c r="R638" s="5" t="s">
        <v>43</v>
      </c>
      <c r="S638" s="5" t="s">
        <v>21</v>
      </c>
      <c r="T638" s="6" t="s">
        <v>84</v>
      </c>
      <c r="U638" s="6">
        <v>1</v>
      </c>
      <c r="V638" s="6" t="s">
        <v>26</v>
      </c>
      <c r="W638" s="6">
        <v>1</v>
      </c>
      <c r="X638" s="6" t="s">
        <v>46</v>
      </c>
      <c r="Y638">
        <v>2</v>
      </c>
      <c r="Z638" s="5" t="s">
        <v>46</v>
      </c>
      <c r="AA638" s="5" t="s">
        <v>46</v>
      </c>
      <c r="AB638" s="5" t="s">
        <v>46</v>
      </c>
    </row>
    <row r="639" spans="1:28" x14ac:dyDescent="0.35">
      <c r="A639" s="8" t="s">
        <v>1025</v>
      </c>
      <c r="B639" s="5" t="s">
        <v>698</v>
      </c>
      <c r="C639">
        <v>1994</v>
      </c>
      <c r="D639">
        <f t="shared" ca="1" si="20"/>
        <v>31</v>
      </c>
      <c r="E639" s="5" t="s">
        <v>6</v>
      </c>
      <c r="F639" t="s">
        <v>29</v>
      </c>
      <c r="G639" s="4" t="str">
        <f t="shared" si="21"/>
        <v>&lt;500.000</v>
      </c>
      <c r="H639" t="s">
        <v>63</v>
      </c>
      <c r="I639">
        <v>1</v>
      </c>
      <c r="J639" t="s">
        <v>8</v>
      </c>
      <c r="K639" s="5" t="s">
        <v>10</v>
      </c>
      <c r="L639" s="5" t="s">
        <v>11</v>
      </c>
      <c r="M639" s="5" t="s">
        <v>40</v>
      </c>
      <c r="N639" s="5" t="s">
        <v>37</v>
      </c>
      <c r="O639" s="5" t="s">
        <v>42</v>
      </c>
      <c r="P639" s="5" t="s">
        <v>15</v>
      </c>
      <c r="Q639" s="5" t="s">
        <v>17</v>
      </c>
      <c r="R639" s="5" t="s">
        <v>43</v>
      </c>
      <c r="S639" s="5" t="s">
        <v>21</v>
      </c>
      <c r="T639" s="6" t="s">
        <v>73</v>
      </c>
      <c r="U639" s="6">
        <v>0</v>
      </c>
      <c r="V639" s="6" t="s">
        <v>117</v>
      </c>
      <c r="W639" s="6">
        <v>1</v>
      </c>
      <c r="X639" s="6" t="s">
        <v>46</v>
      </c>
      <c r="Y639">
        <v>0</v>
      </c>
      <c r="Z639" s="5" t="s">
        <v>44</v>
      </c>
      <c r="AA639" s="5" t="s">
        <v>46</v>
      </c>
      <c r="AB639" s="5" t="s">
        <v>46</v>
      </c>
    </row>
    <row r="640" spans="1:28" x14ac:dyDescent="0.35">
      <c r="A640" s="8" t="s">
        <v>1026</v>
      </c>
      <c r="B640" s="5" t="s">
        <v>699</v>
      </c>
      <c r="C640">
        <v>1995</v>
      </c>
      <c r="D640">
        <f t="shared" ca="1" si="20"/>
        <v>30</v>
      </c>
      <c r="E640" s="5" t="s">
        <v>28</v>
      </c>
      <c r="F640" t="s">
        <v>29</v>
      </c>
      <c r="G640" s="4" t="str">
        <f t="shared" si="21"/>
        <v>500.000–1.000.000</v>
      </c>
      <c r="H640" t="s">
        <v>700</v>
      </c>
      <c r="I640">
        <v>1</v>
      </c>
      <c r="J640" t="s">
        <v>8</v>
      </c>
      <c r="K640" s="5" t="s">
        <v>10</v>
      </c>
      <c r="L640" s="5" t="s">
        <v>11</v>
      </c>
      <c r="M640" s="5" t="s">
        <v>40</v>
      </c>
      <c r="N640" s="5" t="s">
        <v>37</v>
      </c>
      <c r="O640" s="5" t="s">
        <v>42</v>
      </c>
      <c r="P640" s="5" t="s">
        <v>15</v>
      </c>
      <c r="Q640" s="5" t="s">
        <v>17</v>
      </c>
      <c r="R640" s="5" t="s">
        <v>43</v>
      </c>
      <c r="S640" s="5" t="s">
        <v>21</v>
      </c>
      <c r="T640" s="6" t="s">
        <v>73</v>
      </c>
      <c r="U640" s="6">
        <v>0</v>
      </c>
      <c r="V640" s="6" t="s">
        <v>117</v>
      </c>
      <c r="W640" s="6">
        <v>1</v>
      </c>
      <c r="X640" s="6" t="s">
        <v>46</v>
      </c>
      <c r="Y640">
        <v>0</v>
      </c>
      <c r="Z640" s="5" t="s">
        <v>44</v>
      </c>
      <c r="AA640" s="5" t="s">
        <v>46</v>
      </c>
      <c r="AB640" s="5" t="s">
        <v>46</v>
      </c>
    </row>
    <row r="641" spans="1:28" x14ac:dyDescent="0.35">
      <c r="A641" s="8" t="s">
        <v>1027</v>
      </c>
      <c r="B641" s="5" t="s">
        <v>701</v>
      </c>
      <c r="C641">
        <v>1939</v>
      </c>
      <c r="D641">
        <f t="shared" ca="1" si="20"/>
        <v>86</v>
      </c>
      <c r="E641" s="5" t="s">
        <v>6</v>
      </c>
      <c r="F641" t="s">
        <v>29</v>
      </c>
      <c r="G641" s="4" t="str">
        <f t="shared" si="21"/>
        <v>&lt;500.000</v>
      </c>
      <c r="H641" t="s">
        <v>30</v>
      </c>
      <c r="I641">
        <v>0</v>
      </c>
      <c r="J641" t="s">
        <v>8</v>
      </c>
      <c r="K641" s="5" t="s">
        <v>38</v>
      </c>
      <c r="L641" s="5" t="s">
        <v>11</v>
      </c>
      <c r="M641" s="5" t="s">
        <v>57</v>
      </c>
      <c r="N641" s="5" t="s">
        <v>58</v>
      </c>
      <c r="O641" s="5" t="s">
        <v>42</v>
      </c>
      <c r="P641" s="5" t="s">
        <v>15</v>
      </c>
      <c r="Q641" s="5" t="s">
        <v>17</v>
      </c>
      <c r="R641" s="5" t="s">
        <v>43</v>
      </c>
      <c r="S641" s="5" t="s">
        <v>21</v>
      </c>
      <c r="T641" s="6" t="s">
        <v>73</v>
      </c>
      <c r="U641" s="6">
        <v>0</v>
      </c>
      <c r="V641" s="6" t="s">
        <v>73</v>
      </c>
      <c r="W641" s="6">
        <v>0</v>
      </c>
      <c r="X641" s="6" t="s">
        <v>46</v>
      </c>
      <c r="Y641">
        <v>0</v>
      </c>
      <c r="Z641" s="5" t="s">
        <v>46</v>
      </c>
      <c r="AA641" s="5" t="s">
        <v>44</v>
      </c>
      <c r="AB641" s="5" t="s">
        <v>46</v>
      </c>
    </row>
    <row r="642" spans="1:28" x14ac:dyDescent="0.35">
      <c r="A642" s="8" t="s">
        <v>1028</v>
      </c>
      <c r="B642" s="5" t="s">
        <v>702</v>
      </c>
      <c r="C642">
        <v>1973</v>
      </c>
      <c r="D642">
        <f t="shared" ca="1" si="20"/>
        <v>52</v>
      </c>
      <c r="E642" s="5" t="s">
        <v>6</v>
      </c>
      <c r="F642" t="s">
        <v>54</v>
      </c>
      <c r="G642" s="4" t="str">
        <f t="shared" si="21"/>
        <v>500.000–1.000.000</v>
      </c>
      <c r="H642" t="s">
        <v>30</v>
      </c>
      <c r="I642">
        <v>1</v>
      </c>
      <c r="J642" t="s">
        <v>8</v>
      </c>
      <c r="K642" s="5" t="s">
        <v>38</v>
      </c>
      <c r="L642" s="5" t="s">
        <v>11</v>
      </c>
      <c r="M642" s="5" t="s">
        <v>57</v>
      </c>
      <c r="N642" s="5" t="s">
        <v>58</v>
      </c>
      <c r="O642" s="5" t="s">
        <v>42</v>
      </c>
      <c r="P642" s="5" t="s">
        <v>15</v>
      </c>
      <c r="Q642" s="5" t="s">
        <v>17</v>
      </c>
      <c r="R642" s="5" t="s">
        <v>43</v>
      </c>
      <c r="S642" s="5" t="s">
        <v>21</v>
      </c>
      <c r="T642" s="6" t="s">
        <v>23</v>
      </c>
      <c r="U642" s="6">
        <v>1</v>
      </c>
      <c r="V642" s="6" t="s">
        <v>26</v>
      </c>
      <c r="W642" s="6">
        <v>1</v>
      </c>
      <c r="X642" s="6" t="s">
        <v>46</v>
      </c>
      <c r="Y642">
        <v>1</v>
      </c>
      <c r="Z642" s="5" t="s">
        <v>46</v>
      </c>
      <c r="AA642" s="5" t="s">
        <v>46</v>
      </c>
      <c r="AB642" s="5" t="s">
        <v>46</v>
      </c>
    </row>
    <row r="643" spans="1:28" x14ac:dyDescent="0.35">
      <c r="A643" s="8" t="s">
        <v>1029</v>
      </c>
      <c r="B643" s="5" t="s">
        <v>703</v>
      </c>
      <c r="C643">
        <v>1979</v>
      </c>
      <c r="D643">
        <f t="shared" ca="1" si="20"/>
        <v>46</v>
      </c>
      <c r="E643" s="5" t="s">
        <v>28</v>
      </c>
      <c r="F643" t="s">
        <v>55</v>
      </c>
      <c r="G643" s="4" t="str">
        <f t="shared" si="21"/>
        <v>1.000.000–2.000.000</v>
      </c>
      <c r="H643" t="s">
        <v>139</v>
      </c>
      <c r="I643">
        <v>1</v>
      </c>
      <c r="J643" t="s">
        <v>8</v>
      </c>
      <c r="K643" s="5" t="s">
        <v>38</v>
      </c>
      <c r="L643" s="5" t="s">
        <v>11</v>
      </c>
      <c r="M643" s="5" t="s">
        <v>57</v>
      </c>
      <c r="N643" s="5" t="s">
        <v>58</v>
      </c>
      <c r="O643" s="5" t="s">
        <v>42</v>
      </c>
      <c r="P643" s="5" t="s">
        <v>15</v>
      </c>
      <c r="Q643" s="5" t="s">
        <v>17</v>
      </c>
      <c r="R643" s="5" t="s">
        <v>43</v>
      </c>
      <c r="S643" s="5" t="s">
        <v>21</v>
      </c>
      <c r="T643" s="6" t="s">
        <v>23</v>
      </c>
      <c r="U643" s="6">
        <v>1</v>
      </c>
      <c r="V643" s="6" t="s">
        <v>26</v>
      </c>
      <c r="W643" s="6">
        <v>1</v>
      </c>
      <c r="X643" s="6" t="s">
        <v>46</v>
      </c>
      <c r="Y643">
        <v>1</v>
      </c>
      <c r="Z643" s="5" t="s">
        <v>46</v>
      </c>
      <c r="AA643" s="5" t="s">
        <v>46</v>
      </c>
      <c r="AB643" s="5" t="s">
        <v>46</v>
      </c>
    </row>
    <row r="644" spans="1:28" x14ac:dyDescent="0.35">
      <c r="A644" s="8" t="s">
        <v>1030</v>
      </c>
      <c r="B644" s="5" t="s">
        <v>704</v>
      </c>
      <c r="C644">
        <v>1984</v>
      </c>
      <c r="D644">
        <f t="shared" ca="1" si="20"/>
        <v>41</v>
      </c>
      <c r="E644" s="5" t="s">
        <v>6</v>
      </c>
      <c r="F644" t="s">
        <v>29</v>
      </c>
      <c r="G644" s="4" t="str">
        <f t="shared" si="21"/>
        <v>&lt;500.000</v>
      </c>
      <c r="H644" t="s">
        <v>63</v>
      </c>
      <c r="I644">
        <v>3</v>
      </c>
      <c r="J644" t="s">
        <v>48</v>
      </c>
      <c r="K644" s="5" t="s">
        <v>38</v>
      </c>
      <c r="L644" s="5" t="s">
        <v>49</v>
      </c>
      <c r="M644" s="5" t="s">
        <v>57</v>
      </c>
      <c r="N644" s="5" t="s">
        <v>58</v>
      </c>
      <c r="O644" s="5" t="s">
        <v>89</v>
      </c>
      <c r="P644" s="5" t="s">
        <v>15</v>
      </c>
      <c r="Q644" s="5" t="s">
        <v>17</v>
      </c>
      <c r="R644" s="5" t="s">
        <v>43</v>
      </c>
      <c r="S644" s="5" t="s">
        <v>21</v>
      </c>
      <c r="T644" s="6" t="s">
        <v>73</v>
      </c>
      <c r="U644" s="6">
        <v>0</v>
      </c>
      <c r="V644" s="6" t="s">
        <v>73</v>
      </c>
      <c r="W644" s="6">
        <v>0</v>
      </c>
      <c r="X644" s="6" t="s">
        <v>46</v>
      </c>
      <c r="Y644">
        <v>2</v>
      </c>
      <c r="Z644" s="5" t="s">
        <v>44</v>
      </c>
      <c r="AA644" s="5" t="s">
        <v>46</v>
      </c>
      <c r="AB644" s="5" t="s">
        <v>46</v>
      </c>
    </row>
    <row r="645" spans="1:28" x14ac:dyDescent="0.35">
      <c r="A645" s="8" t="s">
        <v>1031</v>
      </c>
      <c r="B645" s="5" t="s">
        <v>705</v>
      </c>
      <c r="C645">
        <v>1990</v>
      </c>
      <c r="D645">
        <f t="shared" ca="1" si="20"/>
        <v>35</v>
      </c>
      <c r="E645" s="5" t="s">
        <v>28</v>
      </c>
      <c r="F645" t="s">
        <v>29</v>
      </c>
      <c r="G645" s="4" t="str">
        <f t="shared" si="21"/>
        <v>&lt;500.000</v>
      </c>
      <c r="H645" t="s">
        <v>63</v>
      </c>
      <c r="I645">
        <v>3</v>
      </c>
      <c r="J645" t="s">
        <v>48</v>
      </c>
      <c r="K645" s="5" t="s">
        <v>38</v>
      </c>
      <c r="L645" s="5" t="s">
        <v>49</v>
      </c>
      <c r="M645" s="5" t="s">
        <v>57</v>
      </c>
      <c r="N645" s="5" t="s">
        <v>58</v>
      </c>
      <c r="O645" s="5" t="s">
        <v>89</v>
      </c>
      <c r="P645" s="5" t="s">
        <v>15</v>
      </c>
      <c r="Q645" s="5" t="s">
        <v>17</v>
      </c>
      <c r="R645" s="5" t="s">
        <v>43</v>
      </c>
      <c r="S645" s="5" t="s">
        <v>21</v>
      </c>
      <c r="T645" s="6" t="s">
        <v>73</v>
      </c>
      <c r="U645" s="6">
        <v>0</v>
      </c>
      <c r="V645" s="6" t="s">
        <v>73</v>
      </c>
      <c r="W645" s="6">
        <v>0</v>
      </c>
      <c r="X645" s="6" t="s">
        <v>46</v>
      </c>
      <c r="Y645">
        <v>2</v>
      </c>
      <c r="Z645" s="5" t="s">
        <v>44</v>
      </c>
      <c r="AA645" s="5" t="s">
        <v>46</v>
      </c>
      <c r="AB645" s="5" t="s">
        <v>46</v>
      </c>
    </row>
    <row r="646" spans="1:28" x14ac:dyDescent="0.35">
      <c r="A646" s="8" t="s">
        <v>1032</v>
      </c>
      <c r="B646" s="5" t="s">
        <v>706</v>
      </c>
      <c r="C646">
        <v>1972</v>
      </c>
      <c r="D646">
        <f t="shared" ca="1" si="20"/>
        <v>53</v>
      </c>
      <c r="E646" s="5" t="s">
        <v>6</v>
      </c>
      <c r="F646" t="s">
        <v>55</v>
      </c>
      <c r="G646" s="4" t="str">
        <f t="shared" si="21"/>
        <v>500.000–1.000.000</v>
      </c>
      <c r="H646" t="s">
        <v>30</v>
      </c>
      <c r="I646">
        <v>0</v>
      </c>
      <c r="J646" t="s">
        <v>8</v>
      </c>
      <c r="K646" s="5" t="s">
        <v>38</v>
      </c>
      <c r="L646" s="5" t="s">
        <v>11</v>
      </c>
      <c r="M646" s="5" t="s">
        <v>57</v>
      </c>
      <c r="N646" s="5" t="s">
        <v>58</v>
      </c>
      <c r="O646" s="5" t="s">
        <v>42</v>
      </c>
      <c r="P646" s="5" t="s">
        <v>15</v>
      </c>
      <c r="Q646" s="5" t="s">
        <v>17</v>
      </c>
      <c r="R646" s="5" t="s">
        <v>43</v>
      </c>
      <c r="S646" s="5" t="s">
        <v>21</v>
      </c>
      <c r="T646" s="6" t="s">
        <v>23</v>
      </c>
      <c r="U646" s="6">
        <v>1</v>
      </c>
      <c r="V646" s="6" t="s">
        <v>76</v>
      </c>
      <c r="W646" s="6">
        <v>1</v>
      </c>
      <c r="X646" s="6" t="s">
        <v>46</v>
      </c>
      <c r="Y646">
        <v>0</v>
      </c>
      <c r="Z646" s="5" t="s">
        <v>46</v>
      </c>
      <c r="AA646" s="5" t="s">
        <v>46</v>
      </c>
      <c r="AB646" s="5" t="s">
        <v>46</v>
      </c>
    </row>
    <row r="647" spans="1:28" x14ac:dyDescent="0.35">
      <c r="A647" s="8" t="s">
        <v>1033</v>
      </c>
      <c r="B647" s="5" t="s">
        <v>707</v>
      </c>
      <c r="C647">
        <v>1955</v>
      </c>
      <c r="D647">
        <f t="shared" ca="1" si="20"/>
        <v>70</v>
      </c>
      <c r="E647" s="5" t="s">
        <v>6</v>
      </c>
      <c r="F647" t="s">
        <v>29</v>
      </c>
      <c r="G647" s="4" t="str">
        <f t="shared" si="21"/>
        <v>&lt;500.000</v>
      </c>
      <c r="H647" t="s">
        <v>30</v>
      </c>
      <c r="I647">
        <v>0</v>
      </c>
      <c r="J647" t="s">
        <v>8</v>
      </c>
      <c r="K647" s="5" t="s">
        <v>38</v>
      </c>
      <c r="L647" s="5" t="s">
        <v>11</v>
      </c>
      <c r="M647" s="5" t="s">
        <v>57</v>
      </c>
      <c r="N647" s="5" t="s">
        <v>58</v>
      </c>
      <c r="O647" s="5" t="s">
        <v>42</v>
      </c>
      <c r="P647" s="5" t="s">
        <v>15</v>
      </c>
      <c r="Q647" s="5" t="s">
        <v>17</v>
      </c>
      <c r="R647" s="5" t="s">
        <v>43</v>
      </c>
      <c r="S647" s="5" t="s">
        <v>21</v>
      </c>
      <c r="T647" s="6" t="s">
        <v>73</v>
      </c>
      <c r="U647" s="6">
        <v>0</v>
      </c>
      <c r="V647" s="6" t="s">
        <v>73</v>
      </c>
      <c r="W647" s="6">
        <v>0</v>
      </c>
      <c r="X647" s="6" t="s">
        <v>46</v>
      </c>
      <c r="Y647">
        <v>0</v>
      </c>
      <c r="Z647" s="5" t="s">
        <v>46</v>
      </c>
      <c r="AA647" s="5" t="s">
        <v>44</v>
      </c>
      <c r="AB647" s="5" t="s">
        <v>46</v>
      </c>
    </row>
    <row r="648" spans="1:28" x14ac:dyDescent="0.35">
      <c r="A648" s="8" t="s">
        <v>1034</v>
      </c>
      <c r="B648" s="5" t="s">
        <v>708</v>
      </c>
      <c r="C648">
        <v>1988</v>
      </c>
      <c r="D648">
        <f t="shared" ca="1" si="20"/>
        <v>37</v>
      </c>
      <c r="E648" s="5" t="s">
        <v>6</v>
      </c>
      <c r="F648" t="s">
        <v>29</v>
      </c>
      <c r="G648" s="4" t="str">
        <f t="shared" si="21"/>
        <v>&lt;500.000</v>
      </c>
      <c r="H648" t="s">
        <v>63</v>
      </c>
      <c r="I648">
        <v>0</v>
      </c>
      <c r="J648" t="s">
        <v>48</v>
      </c>
      <c r="K648" s="5" t="s">
        <v>114</v>
      </c>
      <c r="L648" s="5" t="s">
        <v>11</v>
      </c>
      <c r="M648" s="5" t="s">
        <v>57</v>
      </c>
      <c r="N648" s="5" t="s">
        <v>58</v>
      </c>
      <c r="O648" s="5" t="s">
        <v>89</v>
      </c>
      <c r="P648" s="5" t="s">
        <v>15</v>
      </c>
      <c r="Q648" s="5" t="s">
        <v>17</v>
      </c>
      <c r="R648" s="5" t="s">
        <v>43</v>
      </c>
      <c r="S648" s="5" t="s">
        <v>21</v>
      </c>
      <c r="T648" s="6" t="s">
        <v>73</v>
      </c>
      <c r="U648" s="6">
        <v>0</v>
      </c>
      <c r="V648" s="6" t="s">
        <v>73</v>
      </c>
      <c r="W648" s="6">
        <v>0</v>
      </c>
      <c r="X648" s="6" t="s">
        <v>46</v>
      </c>
      <c r="Y648">
        <v>0</v>
      </c>
      <c r="Z648" s="5" t="s">
        <v>46</v>
      </c>
      <c r="AA648" s="5" t="s">
        <v>46</v>
      </c>
      <c r="AB648" s="5" t="s">
        <v>46</v>
      </c>
    </row>
    <row r="649" spans="1:28" x14ac:dyDescent="0.35">
      <c r="A649" s="8" t="s">
        <v>1035</v>
      </c>
      <c r="B649" s="5" t="s">
        <v>709</v>
      </c>
      <c r="C649">
        <v>1987</v>
      </c>
      <c r="D649">
        <f t="shared" ca="1" si="20"/>
        <v>38</v>
      </c>
      <c r="E649" s="5" t="s">
        <v>6</v>
      </c>
      <c r="F649" t="s">
        <v>54</v>
      </c>
      <c r="G649" s="4" t="str">
        <f t="shared" si="21"/>
        <v>1.000.000–2.000.000</v>
      </c>
      <c r="H649" t="s">
        <v>139</v>
      </c>
      <c r="I649">
        <v>3</v>
      </c>
      <c r="J649" t="s">
        <v>8</v>
      </c>
      <c r="K649" s="5" t="s">
        <v>114</v>
      </c>
      <c r="L649" s="5" t="s">
        <v>11</v>
      </c>
      <c r="M649" s="5" t="s">
        <v>57</v>
      </c>
      <c r="N649" s="5" t="s">
        <v>58</v>
      </c>
      <c r="O649" s="5" t="s">
        <v>42</v>
      </c>
      <c r="P649" s="5" t="s">
        <v>15</v>
      </c>
      <c r="Q649" s="5" t="s">
        <v>17</v>
      </c>
      <c r="R649" s="5" t="s">
        <v>43</v>
      </c>
      <c r="S649" s="5" t="s">
        <v>21</v>
      </c>
      <c r="T649" s="6" t="s">
        <v>23</v>
      </c>
      <c r="U649" s="6">
        <v>1</v>
      </c>
      <c r="V649" s="6" t="s">
        <v>26</v>
      </c>
      <c r="W649" s="6">
        <v>1</v>
      </c>
      <c r="X649" s="6" t="s">
        <v>46</v>
      </c>
      <c r="Y649">
        <v>2</v>
      </c>
      <c r="Z649" s="5" t="s">
        <v>44</v>
      </c>
      <c r="AA649" s="5" t="s">
        <v>46</v>
      </c>
      <c r="AB649" s="5" t="s">
        <v>46</v>
      </c>
    </row>
    <row r="650" spans="1:28" x14ac:dyDescent="0.35">
      <c r="A650" s="8" t="s">
        <v>1036</v>
      </c>
      <c r="B650" s="5" t="s">
        <v>710</v>
      </c>
      <c r="C650">
        <v>1989</v>
      </c>
      <c r="D650">
        <f t="shared" ca="1" si="20"/>
        <v>36</v>
      </c>
      <c r="E650" s="5" t="s">
        <v>28</v>
      </c>
      <c r="F650" t="s">
        <v>29</v>
      </c>
      <c r="G650" s="4" t="str">
        <f t="shared" si="21"/>
        <v>500.000–1.000.000</v>
      </c>
      <c r="H650" t="s">
        <v>139</v>
      </c>
      <c r="I650">
        <v>3</v>
      </c>
      <c r="J650" t="s">
        <v>8</v>
      </c>
      <c r="K650" s="5" t="s">
        <v>114</v>
      </c>
      <c r="L650" s="5" t="s">
        <v>11</v>
      </c>
      <c r="M650" s="5" t="s">
        <v>57</v>
      </c>
      <c r="N650" s="5" t="s">
        <v>58</v>
      </c>
      <c r="O650" s="5" t="s">
        <v>42</v>
      </c>
      <c r="P650" s="5" t="s">
        <v>15</v>
      </c>
      <c r="Q650" s="5" t="s">
        <v>17</v>
      </c>
      <c r="R650" s="5" t="s">
        <v>43</v>
      </c>
      <c r="S650" s="5" t="s">
        <v>21</v>
      </c>
      <c r="T650" s="6" t="s">
        <v>23</v>
      </c>
      <c r="U650" s="6">
        <v>1</v>
      </c>
      <c r="V650" s="6" t="s">
        <v>26</v>
      </c>
      <c r="W650" s="6">
        <v>1</v>
      </c>
      <c r="X650" s="6" t="s">
        <v>46</v>
      </c>
      <c r="Y650">
        <v>2</v>
      </c>
      <c r="Z650" s="5" t="s">
        <v>44</v>
      </c>
      <c r="AA650" s="5" t="s">
        <v>46</v>
      </c>
      <c r="AB650" s="5" t="s">
        <v>46</v>
      </c>
    </row>
    <row r="651" spans="1:28" x14ac:dyDescent="0.35">
      <c r="A651" s="8" t="s">
        <v>1037</v>
      </c>
      <c r="B651" s="5" t="s">
        <v>711</v>
      </c>
      <c r="C651">
        <v>1975</v>
      </c>
      <c r="D651">
        <f t="shared" ca="1" si="20"/>
        <v>50</v>
      </c>
      <c r="E651" s="5" t="s">
        <v>6</v>
      </c>
      <c r="F651" t="s">
        <v>55</v>
      </c>
      <c r="G651" s="4" t="str">
        <f t="shared" si="21"/>
        <v>1.000.000–2.000.000</v>
      </c>
      <c r="H651" t="s">
        <v>139</v>
      </c>
      <c r="I651">
        <v>2</v>
      </c>
      <c r="J651" t="s">
        <v>8</v>
      </c>
      <c r="K651" s="5" t="s">
        <v>114</v>
      </c>
      <c r="L651" s="5" t="s">
        <v>11</v>
      </c>
      <c r="M651" s="5" t="s">
        <v>57</v>
      </c>
      <c r="N651" s="5" t="s">
        <v>58</v>
      </c>
      <c r="O651" s="5" t="s">
        <v>42</v>
      </c>
      <c r="P651" s="5" t="s">
        <v>15</v>
      </c>
      <c r="Q651" s="5" t="s">
        <v>17</v>
      </c>
      <c r="R651" s="5" t="s">
        <v>43</v>
      </c>
      <c r="S651" s="5" t="s">
        <v>21</v>
      </c>
      <c r="T651" s="6" t="s">
        <v>23</v>
      </c>
      <c r="U651" s="6">
        <v>1</v>
      </c>
      <c r="V651" s="6" t="s">
        <v>26</v>
      </c>
      <c r="W651" s="6">
        <v>1</v>
      </c>
      <c r="X651" s="6" t="s">
        <v>44</v>
      </c>
      <c r="Y651">
        <v>1</v>
      </c>
      <c r="Z651" s="5" t="s">
        <v>46</v>
      </c>
      <c r="AA651" s="5" t="s">
        <v>46</v>
      </c>
      <c r="AB651" s="5" t="s">
        <v>46</v>
      </c>
    </row>
    <row r="652" spans="1:28" x14ac:dyDescent="0.35">
      <c r="A652" s="8" t="s">
        <v>1038</v>
      </c>
      <c r="B652" s="5" t="s">
        <v>712</v>
      </c>
      <c r="C652">
        <v>1983</v>
      </c>
      <c r="D652">
        <f t="shared" ca="1" si="20"/>
        <v>42</v>
      </c>
      <c r="E652" s="5" t="s">
        <v>28</v>
      </c>
      <c r="F652" t="s">
        <v>29</v>
      </c>
      <c r="G652" s="4" t="str">
        <f t="shared" si="21"/>
        <v>500.000–1.000.000</v>
      </c>
      <c r="H652" t="s">
        <v>7</v>
      </c>
      <c r="I652">
        <v>2</v>
      </c>
      <c r="J652" t="s">
        <v>8</v>
      </c>
      <c r="K652" s="5" t="s">
        <v>114</v>
      </c>
      <c r="L652" s="5" t="s">
        <v>11</v>
      </c>
      <c r="M652" s="5" t="s">
        <v>57</v>
      </c>
      <c r="N652" s="5" t="s">
        <v>58</v>
      </c>
      <c r="O652" s="5" t="s">
        <v>42</v>
      </c>
      <c r="P652" s="5" t="s">
        <v>15</v>
      </c>
      <c r="Q652" s="5" t="s">
        <v>17</v>
      </c>
      <c r="R652" s="5" t="s">
        <v>43</v>
      </c>
      <c r="S652" s="5" t="s">
        <v>21</v>
      </c>
      <c r="T652" s="6" t="s">
        <v>23</v>
      </c>
      <c r="U652" s="6">
        <v>1</v>
      </c>
      <c r="V652" s="6" t="s">
        <v>26</v>
      </c>
      <c r="W652" s="6">
        <v>1</v>
      </c>
      <c r="X652" s="6" t="s">
        <v>44</v>
      </c>
      <c r="Y652">
        <v>1</v>
      </c>
      <c r="Z652" s="5" t="s">
        <v>46</v>
      </c>
      <c r="AA652" s="5" t="s">
        <v>46</v>
      </c>
      <c r="AB652" s="5" t="s">
        <v>46</v>
      </c>
    </row>
    <row r="653" spans="1:28" x14ac:dyDescent="0.35">
      <c r="A653" s="8" t="s">
        <v>1039</v>
      </c>
      <c r="B653" s="5" t="s">
        <v>713</v>
      </c>
      <c r="C653">
        <v>1970</v>
      </c>
      <c r="D653">
        <f t="shared" ca="1" si="20"/>
        <v>55</v>
      </c>
      <c r="E653" s="5" t="s">
        <v>6</v>
      </c>
      <c r="F653" t="s">
        <v>553</v>
      </c>
      <c r="G653" s="4" t="str">
        <f t="shared" si="21"/>
        <v>2.000.000–3.000.000</v>
      </c>
      <c r="H653" t="s">
        <v>139</v>
      </c>
      <c r="I653">
        <v>3</v>
      </c>
      <c r="J653" t="s">
        <v>8</v>
      </c>
      <c r="K653" s="5" t="s">
        <v>10</v>
      </c>
      <c r="L653" s="5" t="s">
        <v>11</v>
      </c>
      <c r="M653" s="5" t="s">
        <v>40</v>
      </c>
      <c r="N653" s="5" t="s">
        <v>37</v>
      </c>
      <c r="O653" s="5" t="s">
        <v>42</v>
      </c>
      <c r="P653" s="5" t="s">
        <v>15</v>
      </c>
      <c r="Q653" s="5" t="s">
        <v>17</v>
      </c>
      <c r="R653" s="5" t="s">
        <v>43</v>
      </c>
      <c r="S653" s="5" t="s">
        <v>21</v>
      </c>
      <c r="T653" s="6" t="s">
        <v>23</v>
      </c>
      <c r="U653" s="6">
        <v>1</v>
      </c>
      <c r="V653" s="6" t="s">
        <v>26</v>
      </c>
      <c r="W653" s="6">
        <v>1</v>
      </c>
      <c r="X653" s="6" t="s">
        <v>46</v>
      </c>
      <c r="Y653">
        <v>1</v>
      </c>
      <c r="Z653" s="5" t="s">
        <v>46</v>
      </c>
      <c r="AA653" s="5" t="s">
        <v>46</v>
      </c>
      <c r="AB653" s="5" t="s">
        <v>46</v>
      </c>
    </row>
    <row r="654" spans="1:28" x14ac:dyDescent="0.35">
      <c r="A654" s="8" t="s">
        <v>1040</v>
      </c>
      <c r="B654" s="5" t="s">
        <v>714</v>
      </c>
      <c r="C654">
        <v>1969</v>
      </c>
      <c r="D654">
        <f t="shared" ca="1" si="20"/>
        <v>56</v>
      </c>
      <c r="E654" s="5" t="s">
        <v>28</v>
      </c>
      <c r="F654" t="s">
        <v>55</v>
      </c>
      <c r="G654" s="4" t="str">
        <f t="shared" si="21"/>
        <v>1.000.000–2.000.000</v>
      </c>
      <c r="H654" t="s">
        <v>139</v>
      </c>
      <c r="I654">
        <v>3</v>
      </c>
      <c r="J654" t="s">
        <v>8</v>
      </c>
      <c r="K654" s="5" t="s">
        <v>10</v>
      </c>
      <c r="L654" s="5" t="s">
        <v>11</v>
      </c>
      <c r="M654" s="5" t="s">
        <v>40</v>
      </c>
      <c r="N654" s="5" t="s">
        <v>37</v>
      </c>
      <c r="O654" s="5" t="s">
        <v>42</v>
      </c>
      <c r="P654" s="5" t="s">
        <v>15</v>
      </c>
      <c r="Q654" s="5" t="s">
        <v>17</v>
      </c>
      <c r="R654" s="5" t="s">
        <v>43</v>
      </c>
      <c r="S654" s="5" t="s">
        <v>21</v>
      </c>
      <c r="T654" s="6" t="s">
        <v>23</v>
      </c>
      <c r="U654" s="6">
        <v>1</v>
      </c>
      <c r="V654" s="6" t="s">
        <v>26</v>
      </c>
      <c r="W654" s="6">
        <v>1</v>
      </c>
      <c r="X654" s="6" t="s">
        <v>46</v>
      </c>
      <c r="Y654">
        <v>1</v>
      </c>
      <c r="Z654" s="5" t="s">
        <v>46</v>
      </c>
      <c r="AA654" s="5" t="s">
        <v>46</v>
      </c>
      <c r="AB654" s="5" t="s">
        <v>46</v>
      </c>
    </row>
    <row r="655" spans="1:28" x14ac:dyDescent="0.35">
      <c r="A655" s="8" t="s">
        <v>1041</v>
      </c>
      <c r="B655" s="5" t="s">
        <v>715</v>
      </c>
      <c r="C655">
        <v>1960</v>
      </c>
      <c r="D655">
        <f t="shared" ca="1" si="20"/>
        <v>65</v>
      </c>
      <c r="E655" s="5" t="s">
        <v>6</v>
      </c>
      <c r="F655" t="s">
        <v>29</v>
      </c>
      <c r="G655" s="4" t="str">
        <f t="shared" si="21"/>
        <v>&lt;500.000</v>
      </c>
      <c r="H655" t="s">
        <v>63</v>
      </c>
      <c r="I655">
        <v>1</v>
      </c>
      <c r="J655" t="s">
        <v>8</v>
      </c>
      <c r="K655" s="5" t="s">
        <v>114</v>
      </c>
      <c r="L655" s="5" t="s">
        <v>11</v>
      </c>
      <c r="M655" s="5" t="s">
        <v>57</v>
      </c>
      <c r="N655" s="5" t="s">
        <v>58</v>
      </c>
      <c r="O655" s="5" t="s">
        <v>42</v>
      </c>
      <c r="P655" s="5" t="s">
        <v>15</v>
      </c>
      <c r="Q655" s="5" t="s">
        <v>17</v>
      </c>
      <c r="R655" s="5" t="s">
        <v>43</v>
      </c>
      <c r="S655" s="5" t="s">
        <v>21</v>
      </c>
      <c r="T655" s="6" t="s">
        <v>73</v>
      </c>
      <c r="U655" s="6">
        <v>0</v>
      </c>
      <c r="V655" s="6" t="s">
        <v>73</v>
      </c>
      <c r="W655" s="6">
        <v>0</v>
      </c>
      <c r="X655" s="6" t="s">
        <v>46</v>
      </c>
      <c r="Y655">
        <v>0</v>
      </c>
      <c r="Z655" s="5" t="s">
        <v>46</v>
      </c>
      <c r="AA655" s="5" t="s">
        <v>64</v>
      </c>
      <c r="AB655" s="5" t="s">
        <v>46</v>
      </c>
    </row>
    <row r="656" spans="1:28" x14ac:dyDescent="0.35">
      <c r="A656" s="8" t="s">
        <v>1042</v>
      </c>
      <c r="B656" s="5" t="s">
        <v>716</v>
      </c>
      <c r="C656">
        <v>1964</v>
      </c>
      <c r="D656">
        <f t="shared" ca="1" si="20"/>
        <v>61</v>
      </c>
      <c r="E656" s="5" t="s">
        <v>28</v>
      </c>
      <c r="F656" t="s">
        <v>29</v>
      </c>
      <c r="G656" s="4" t="str">
        <f t="shared" si="21"/>
        <v>&lt;500.000</v>
      </c>
      <c r="H656" t="s">
        <v>63</v>
      </c>
      <c r="I656">
        <v>1</v>
      </c>
      <c r="J656" t="s">
        <v>8</v>
      </c>
      <c r="K656" s="5" t="s">
        <v>114</v>
      </c>
      <c r="L656" s="5" t="s">
        <v>11</v>
      </c>
      <c r="M656" s="5" t="s">
        <v>57</v>
      </c>
      <c r="N656" s="5" t="s">
        <v>58</v>
      </c>
      <c r="O656" s="5" t="s">
        <v>42</v>
      </c>
      <c r="P656" s="5" t="s">
        <v>15</v>
      </c>
      <c r="Q656" s="5" t="s">
        <v>17</v>
      </c>
      <c r="R656" s="5" t="s">
        <v>43</v>
      </c>
      <c r="S656" s="5" t="s">
        <v>21</v>
      </c>
      <c r="T656" s="6" t="s">
        <v>73</v>
      </c>
      <c r="U656" s="6">
        <v>0</v>
      </c>
      <c r="V656" s="6" t="s">
        <v>73</v>
      </c>
      <c r="W656" s="6">
        <v>0</v>
      </c>
      <c r="X656" s="6" t="s">
        <v>46</v>
      </c>
      <c r="Y656">
        <v>0</v>
      </c>
      <c r="Z656" s="5" t="s">
        <v>46</v>
      </c>
      <c r="AA656" s="5" t="s">
        <v>64</v>
      </c>
      <c r="AB656" s="5" t="s">
        <v>46</v>
      </c>
    </row>
    <row r="657" spans="1:28" x14ac:dyDescent="0.35">
      <c r="A657" s="8" t="s">
        <v>1043</v>
      </c>
      <c r="B657" s="5" t="s">
        <v>717</v>
      </c>
      <c r="C657">
        <v>1992</v>
      </c>
      <c r="D657">
        <f t="shared" ca="1" si="20"/>
        <v>33</v>
      </c>
      <c r="E657" s="5" t="s">
        <v>6</v>
      </c>
      <c r="F657" t="s">
        <v>29</v>
      </c>
      <c r="G657" s="4" t="str">
        <f t="shared" si="21"/>
        <v>&lt;500.000</v>
      </c>
      <c r="H657" t="s">
        <v>63</v>
      </c>
      <c r="I657">
        <v>0</v>
      </c>
      <c r="J657" t="s">
        <v>8</v>
      </c>
      <c r="K657" s="5" t="s">
        <v>114</v>
      </c>
      <c r="L657" s="5" t="s">
        <v>11</v>
      </c>
      <c r="M657" s="5" t="s">
        <v>57</v>
      </c>
      <c r="N657" s="5" t="s">
        <v>58</v>
      </c>
      <c r="O657" s="5" t="s">
        <v>89</v>
      </c>
      <c r="P657" s="5" t="s">
        <v>15</v>
      </c>
      <c r="Q657" s="5" t="s">
        <v>17</v>
      </c>
      <c r="R657" s="5" t="s">
        <v>43</v>
      </c>
      <c r="S657" s="5" t="s">
        <v>21</v>
      </c>
      <c r="T657" s="6" t="s">
        <v>73</v>
      </c>
      <c r="U657" s="6">
        <v>0</v>
      </c>
      <c r="V657" s="6" t="s">
        <v>73</v>
      </c>
      <c r="W657" s="6">
        <v>0</v>
      </c>
      <c r="X657" s="6" t="s">
        <v>46</v>
      </c>
      <c r="Y657">
        <v>0</v>
      </c>
      <c r="Z657" s="5" t="s">
        <v>46</v>
      </c>
      <c r="AA657" s="5" t="s">
        <v>46</v>
      </c>
      <c r="AB657" s="5" t="s">
        <v>46</v>
      </c>
    </row>
    <row r="658" spans="1:28" x14ac:dyDescent="0.35">
      <c r="A658" s="8" t="s">
        <v>1044</v>
      </c>
      <c r="B658" s="5" t="s">
        <v>713</v>
      </c>
      <c r="C658">
        <v>1965</v>
      </c>
      <c r="D658">
        <f t="shared" ca="1" si="20"/>
        <v>60</v>
      </c>
      <c r="E658" s="5" t="s">
        <v>6</v>
      </c>
      <c r="F658" t="s">
        <v>137</v>
      </c>
      <c r="G658" s="4" t="str">
        <f t="shared" si="21"/>
        <v>500.000–1.000.000</v>
      </c>
      <c r="H658" t="s">
        <v>7</v>
      </c>
      <c r="I658">
        <v>0</v>
      </c>
      <c r="J658" t="s">
        <v>8</v>
      </c>
      <c r="K658" s="5" t="s">
        <v>114</v>
      </c>
      <c r="L658" s="5" t="s">
        <v>11</v>
      </c>
      <c r="M658" s="5" t="s">
        <v>57</v>
      </c>
      <c r="N658" s="5" t="s">
        <v>58</v>
      </c>
      <c r="O658" s="5" t="s">
        <v>42</v>
      </c>
      <c r="P658" s="5" t="s">
        <v>15</v>
      </c>
      <c r="Q658" s="5" t="s">
        <v>17</v>
      </c>
      <c r="R658" s="5" t="s">
        <v>43</v>
      </c>
      <c r="S658" s="5" t="s">
        <v>21</v>
      </c>
      <c r="T658" s="6" t="s">
        <v>23</v>
      </c>
      <c r="U658" s="6">
        <v>1</v>
      </c>
      <c r="V658" s="6" t="s">
        <v>117</v>
      </c>
      <c r="W658" s="6">
        <v>1</v>
      </c>
      <c r="X658" s="6" t="s">
        <v>46</v>
      </c>
      <c r="Y658">
        <v>0</v>
      </c>
      <c r="Z658" s="5" t="s">
        <v>46</v>
      </c>
      <c r="AA658" s="5" t="s">
        <v>44</v>
      </c>
      <c r="AB658" s="5" t="s">
        <v>46</v>
      </c>
    </row>
    <row r="659" spans="1:28" x14ac:dyDescent="0.35">
      <c r="A659" s="8" t="s">
        <v>1045</v>
      </c>
      <c r="B659" s="5" t="s">
        <v>718</v>
      </c>
      <c r="C659">
        <v>1967</v>
      </c>
      <c r="D659">
        <f t="shared" ca="1" si="20"/>
        <v>58</v>
      </c>
      <c r="E659" s="5" t="s">
        <v>28</v>
      </c>
      <c r="F659" t="s">
        <v>55</v>
      </c>
      <c r="G659" s="4" t="str">
        <f t="shared" si="21"/>
        <v>500.000–1.000.000</v>
      </c>
      <c r="H659" t="s">
        <v>7</v>
      </c>
      <c r="I659">
        <v>0</v>
      </c>
      <c r="J659" t="s">
        <v>8</v>
      </c>
      <c r="K659" s="5" t="s">
        <v>114</v>
      </c>
      <c r="L659" s="5" t="s">
        <v>11</v>
      </c>
      <c r="M659" s="5" t="s">
        <v>57</v>
      </c>
      <c r="N659" s="5" t="s">
        <v>58</v>
      </c>
      <c r="O659" s="5" t="s">
        <v>42</v>
      </c>
      <c r="P659" s="5" t="s">
        <v>15</v>
      </c>
      <c r="Q659" s="5" t="s">
        <v>17</v>
      </c>
      <c r="R659" s="5" t="s">
        <v>43</v>
      </c>
      <c r="S659" s="5" t="s">
        <v>21</v>
      </c>
      <c r="T659" s="6" t="s">
        <v>23</v>
      </c>
      <c r="U659" s="6">
        <v>1</v>
      </c>
      <c r="V659" s="6" t="s">
        <v>117</v>
      </c>
      <c r="W659" s="6">
        <v>1</v>
      </c>
      <c r="X659" s="6" t="s">
        <v>46</v>
      </c>
      <c r="Y659">
        <v>0</v>
      </c>
      <c r="Z659" s="5" t="s">
        <v>46</v>
      </c>
      <c r="AA659" s="5" t="s">
        <v>44</v>
      </c>
      <c r="AB659" s="5" t="s">
        <v>46</v>
      </c>
    </row>
    <row r="660" spans="1:28" x14ac:dyDescent="0.35">
      <c r="A660" s="8" t="s">
        <v>1046</v>
      </c>
      <c r="B660" s="5" t="s">
        <v>719</v>
      </c>
      <c r="C660">
        <v>1998</v>
      </c>
      <c r="D660">
        <f t="shared" ca="1" si="20"/>
        <v>27</v>
      </c>
      <c r="E660" s="5" t="s">
        <v>6</v>
      </c>
      <c r="F660" t="s">
        <v>151</v>
      </c>
      <c r="G660" s="4" t="str">
        <f t="shared" si="21"/>
        <v>1.000.000–2.000.000</v>
      </c>
      <c r="H660" t="s">
        <v>139</v>
      </c>
      <c r="I660">
        <v>3</v>
      </c>
      <c r="J660" t="s">
        <v>48</v>
      </c>
      <c r="K660" s="5" t="s">
        <v>114</v>
      </c>
      <c r="L660" s="5" t="s">
        <v>11</v>
      </c>
      <c r="M660" s="5" t="s">
        <v>57</v>
      </c>
      <c r="N660" s="5" t="s">
        <v>58</v>
      </c>
      <c r="O660" s="5" t="s">
        <v>42</v>
      </c>
      <c r="P660" s="5" t="s">
        <v>15</v>
      </c>
      <c r="Q660" s="5" t="s">
        <v>17</v>
      </c>
      <c r="R660" s="5" t="s">
        <v>43</v>
      </c>
      <c r="S660" s="5" t="s">
        <v>21</v>
      </c>
      <c r="T660" s="6" t="s">
        <v>23</v>
      </c>
      <c r="U660" s="6">
        <v>1</v>
      </c>
      <c r="V660" s="6" t="s">
        <v>76</v>
      </c>
      <c r="W660" s="6">
        <v>1</v>
      </c>
      <c r="X660" s="6" t="s">
        <v>46</v>
      </c>
      <c r="Y660">
        <v>0</v>
      </c>
      <c r="Z660" s="5" t="s">
        <v>64</v>
      </c>
      <c r="AA660" s="5" t="s">
        <v>46</v>
      </c>
      <c r="AB660" s="5" t="s">
        <v>46</v>
      </c>
    </row>
    <row r="661" spans="1:28" x14ac:dyDescent="0.35">
      <c r="A661" s="8" t="s">
        <v>1047</v>
      </c>
      <c r="B661" s="5" t="s">
        <v>720</v>
      </c>
      <c r="C661">
        <v>1998</v>
      </c>
      <c r="D661">
        <f t="shared" ca="1" si="20"/>
        <v>27</v>
      </c>
      <c r="E661" s="5" t="s">
        <v>28</v>
      </c>
      <c r="F661" t="s">
        <v>29</v>
      </c>
      <c r="G661" s="4" t="str">
        <f t="shared" si="21"/>
        <v>500.000–1.000.000</v>
      </c>
      <c r="H661" t="s">
        <v>139</v>
      </c>
      <c r="I661">
        <v>3</v>
      </c>
      <c r="J661" t="s">
        <v>48</v>
      </c>
      <c r="K661" s="5" t="s">
        <v>114</v>
      </c>
      <c r="L661" s="5" t="s">
        <v>11</v>
      </c>
      <c r="M661" s="5" t="s">
        <v>57</v>
      </c>
      <c r="N661" s="5" t="s">
        <v>58</v>
      </c>
      <c r="O661" s="5" t="s">
        <v>42</v>
      </c>
      <c r="P661" s="5" t="s">
        <v>15</v>
      </c>
      <c r="Q661" s="5" t="s">
        <v>17</v>
      </c>
      <c r="R661" s="5" t="s">
        <v>43</v>
      </c>
      <c r="S661" s="5" t="s">
        <v>21</v>
      </c>
      <c r="T661" s="6" t="s">
        <v>23</v>
      </c>
      <c r="U661" s="6">
        <v>1</v>
      </c>
      <c r="V661" s="6" t="s">
        <v>76</v>
      </c>
      <c r="W661" s="6">
        <v>1</v>
      </c>
      <c r="X661" s="6" t="s">
        <v>46</v>
      </c>
      <c r="Y661">
        <v>0</v>
      </c>
      <c r="Z661" s="5" t="s">
        <v>64</v>
      </c>
      <c r="AA661" s="5" t="s">
        <v>46</v>
      </c>
      <c r="AB661" s="5" t="s">
        <v>46</v>
      </c>
    </row>
    <row r="662" spans="1:28" x14ac:dyDescent="0.35">
      <c r="A662" s="8" t="s">
        <v>1048</v>
      </c>
      <c r="B662" s="5" t="s">
        <v>721</v>
      </c>
      <c r="C662">
        <v>1960</v>
      </c>
      <c r="D662">
        <f t="shared" ca="1" si="20"/>
        <v>65</v>
      </c>
      <c r="E662" s="5" t="s">
        <v>6</v>
      </c>
      <c r="F662" t="s">
        <v>29</v>
      </c>
      <c r="G662" s="4" t="str">
        <f t="shared" si="21"/>
        <v>500.000–1.000.000</v>
      </c>
      <c r="H662" t="s">
        <v>139</v>
      </c>
      <c r="I662">
        <v>1</v>
      </c>
      <c r="J662" t="s">
        <v>8</v>
      </c>
      <c r="K662" s="5" t="s">
        <v>114</v>
      </c>
      <c r="L662" s="5" t="s">
        <v>11</v>
      </c>
      <c r="M662" s="5" t="s">
        <v>57</v>
      </c>
      <c r="N662" s="5" t="s">
        <v>58</v>
      </c>
      <c r="O662" s="5" t="s">
        <v>42</v>
      </c>
      <c r="P662" s="5" t="s">
        <v>15</v>
      </c>
      <c r="Q662" s="5" t="s">
        <v>17</v>
      </c>
      <c r="R662" s="5" t="s">
        <v>43</v>
      </c>
      <c r="S662" s="5" t="s">
        <v>21</v>
      </c>
      <c r="T662" s="6" t="s">
        <v>23</v>
      </c>
      <c r="U662" s="6">
        <v>1</v>
      </c>
      <c r="V662" s="6" t="s">
        <v>26</v>
      </c>
      <c r="W662" s="6">
        <v>1</v>
      </c>
      <c r="X662" s="6" t="s">
        <v>46</v>
      </c>
      <c r="Y662">
        <v>0</v>
      </c>
      <c r="Z662" s="5" t="s">
        <v>46</v>
      </c>
      <c r="AA662" s="5" t="s">
        <v>64</v>
      </c>
      <c r="AB662" s="5" t="s">
        <v>74</v>
      </c>
    </row>
    <row r="663" spans="1:28" x14ac:dyDescent="0.35">
      <c r="A663" s="8" t="s">
        <v>1049</v>
      </c>
      <c r="B663" s="5" t="s">
        <v>722</v>
      </c>
      <c r="C663">
        <v>1968</v>
      </c>
      <c r="D663">
        <f t="shared" ca="1" si="20"/>
        <v>57</v>
      </c>
      <c r="E663" s="5" t="s">
        <v>28</v>
      </c>
      <c r="F663" t="s">
        <v>29</v>
      </c>
      <c r="G663" s="4" t="str">
        <f t="shared" si="21"/>
        <v>&lt;500.000</v>
      </c>
      <c r="H663" t="s">
        <v>30</v>
      </c>
      <c r="I663">
        <v>1</v>
      </c>
      <c r="J663" t="s">
        <v>8</v>
      </c>
      <c r="K663" s="5" t="s">
        <v>114</v>
      </c>
      <c r="L663" s="5" t="s">
        <v>11</v>
      </c>
      <c r="M663" s="5" t="s">
        <v>57</v>
      </c>
      <c r="N663" s="5" t="s">
        <v>58</v>
      </c>
      <c r="O663" s="5" t="s">
        <v>42</v>
      </c>
      <c r="P663" s="5" t="s">
        <v>15</v>
      </c>
      <c r="Q663" s="5" t="s">
        <v>17</v>
      </c>
      <c r="R663" s="5" t="s">
        <v>43</v>
      </c>
      <c r="S663" s="5" t="s">
        <v>21</v>
      </c>
      <c r="T663" s="6" t="s">
        <v>23</v>
      </c>
      <c r="U663" s="6">
        <v>1</v>
      </c>
      <c r="V663" s="6" t="s">
        <v>26</v>
      </c>
      <c r="W663" s="6">
        <v>1</v>
      </c>
      <c r="X663" s="6" t="s">
        <v>46</v>
      </c>
      <c r="Y663">
        <v>0</v>
      </c>
      <c r="Z663" s="5" t="s">
        <v>46</v>
      </c>
      <c r="AA663" s="5" t="s">
        <v>64</v>
      </c>
      <c r="AB663" s="5" t="s">
        <v>74</v>
      </c>
    </row>
    <row r="664" spans="1:28" x14ac:dyDescent="0.35">
      <c r="A664" s="8" t="s">
        <v>1050</v>
      </c>
      <c r="B664" s="5" t="s">
        <v>723</v>
      </c>
      <c r="C664">
        <v>1962</v>
      </c>
      <c r="D664">
        <f t="shared" ca="1" si="20"/>
        <v>63</v>
      </c>
      <c r="E664" s="5" t="s">
        <v>6</v>
      </c>
      <c r="F664" t="s">
        <v>151</v>
      </c>
      <c r="G664" s="4" t="str">
        <f t="shared" si="21"/>
        <v>500.000–1.000.000</v>
      </c>
      <c r="H664" t="s">
        <v>30</v>
      </c>
      <c r="I664">
        <v>0</v>
      </c>
      <c r="J664" t="s">
        <v>8</v>
      </c>
      <c r="K664" s="5" t="s">
        <v>114</v>
      </c>
      <c r="L664" s="5" t="s">
        <v>11</v>
      </c>
      <c r="M664" s="5" t="s">
        <v>57</v>
      </c>
      <c r="N664" s="5" t="s">
        <v>58</v>
      </c>
      <c r="O664" s="5" t="s">
        <v>42</v>
      </c>
      <c r="P664" s="5" t="s">
        <v>15</v>
      </c>
      <c r="Q664" s="5" t="s">
        <v>17</v>
      </c>
      <c r="R664" s="5" t="s">
        <v>43</v>
      </c>
      <c r="S664" s="5" t="s">
        <v>21</v>
      </c>
      <c r="T664" s="6" t="s">
        <v>23</v>
      </c>
      <c r="U664" s="6">
        <v>1</v>
      </c>
      <c r="V664" s="6" t="s">
        <v>117</v>
      </c>
      <c r="W664" s="6">
        <v>1</v>
      </c>
      <c r="X664" s="6" t="s">
        <v>46</v>
      </c>
      <c r="Y664">
        <v>0</v>
      </c>
      <c r="Z664" s="5" t="s">
        <v>46</v>
      </c>
      <c r="AA664" s="5" t="s">
        <v>44</v>
      </c>
      <c r="AB664" s="5" t="s">
        <v>46</v>
      </c>
    </row>
    <row r="665" spans="1:28" x14ac:dyDescent="0.35">
      <c r="A665" s="8" t="s">
        <v>1051</v>
      </c>
      <c r="B665" s="5" t="s">
        <v>724</v>
      </c>
      <c r="C665">
        <v>1988</v>
      </c>
      <c r="D665">
        <f t="shared" ca="1" si="20"/>
        <v>37</v>
      </c>
      <c r="E665" s="5" t="s">
        <v>6</v>
      </c>
      <c r="F665" t="s">
        <v>54</v>
      </c>
      <c r="G665" s="4" t="str">
        <f t="shared" si="21"/>
        <v>1.000.000–2.000.000</v>
      </c>
      <c r="H665" t="s">
        <v>139</v>
      </c>
      <c r="I665">
        <v>4</v>
      </c>
      <c r="J665" t="s">
        <v>72</v>
      </c>
      <c r="K665" s="5" t="s">
        <v>10</v>
      </c>
      <c r="L665" s="5" t="s">
        <v>11</v>
      </c>
      <c r="M665" s="5" t="s">
        <v>40</v>
      </c>
      <c r="N665" s="5" t="s">
        <v>37</v>
      </c>
      <c r="O665" s="5" t="s">
        <v>42</v>
      </c>
      <c r="P665" s="5" t="s">
        <v>15</v>
      </c>
      <c r="Q665" s="5" t="s">
        <v>17</v>
      </c>
      <c r="R665" s="5" t="s">
        <v>43</v>
      </c>
      <c r="S665" s="5" t="s">
        <v>21</v>
      </c>
      <c r="T665" s="6" t="s">
        <v>73</v>
      </c>
      <c r="U665" s="6">
        <v>0</v>
      </c>
      <c r="V665" s="6" t="s">
        <v>76</v>
      </c>
      <c r="W665" s="6">
        <v>1</v>
      </c>
      <c r="X665" s="6" t="s">
        <v>46</v>
      </c>
      <c r="Y665">
        <v>3</v>
      </c>
      <c r="Z665" s="5" t="s">
        <v>44</v>
      </c>
      <c r="AA665" s="5" t="s">
        <v>46</v>
      </c>
      <c r="AB665" s="5" t="s">
        <v>46</v>
      </c>
    </row>
    <row r="666" spans="1:28" x14ac:dyDescent="0.35">
      <c r="A666" s="8" t="s">
        <v>1052</v>
      </c>
      <c r="B666" s="5" t="s">
        <v>725</v>
      </c>
      <c r="C666">
        <v>1992</v>
      </c>
      <c r="D666">
        <f t="shared" ca="1" si="20"/>
        <v>33</v>
      </c>
      <c r="E666" s="5" t="s">
        <v>28</v>
      </c>
      <c r="F666" t="s">
        <v>29</v>
      </c>
      <c r="G666" s="4" t="str">
        <f t="shared" si="21"/>
        <v>500.000–1.000.000</v>
      </c>
      <c r="H666" t="s">
        <v>139</v>
      </c>
      <c r="I666">
        <v>4</v>
      </c>
      <c r="J666" t="s">
        <v>72</v>
      </c>
      <c r="K666" s="5" t="s">
        <v>10</v>
      </c>
      <c r="L666" s="5" t="s">
        <v>11</v>
      </c>
      <c r="M666" s="5" t="s">
        <v>40</v>
      </c>
      <c r="N666" s="5" t="s">
        <v>37</v>
      </c>
      <c r="O666" s="5" t="s">
        <v>42</v>
      </c>
      <c r="P666" s="5" t="s">
        <v>15</v>
      </c>
      <c r="Q666" s="5" t="s">
        <v>17</v>
      </c>
      <c r="R666" s="5" t="s">
        <v>43</v>
      </c>
      <c r="S666" s="5" t="s">
        <v>21</v>
      </c>
      <c r="T666" s="6" t="s">
        <v>73</v>
      </c>
      <c r="U666" s="6">
        <v>0</v>
      </c>
      <c r="V666" s="6" t="s">
        <v>76</v>
      </c>
      <c r="W666" s="6">
        <v>1</v>
      </c>
      <c r="X666" s="6" t="s">
        <v>46</v>
      </c>
      <c r="Y666">
        <v>3</v>
      </c>
      <c r="Z666" s="5" t="s">
        <v>44</v>
      </c>
      <c r="AA666" s="5" t="s">
        <v>46</v>
      </c>
      <c r="AB666" s="5" t="s">
        <v>46</v>
      </c>
    </row>
    <row r="667" spans="1:28" x14ac:dyDescent="0.35">
      <c r="A667" s="8" t="s">
        <v>1053</v>
      </c>
      <c r="B667" s="5" t="s">
        <v>726</v>
      </c>
      <c r="C667">
        <v>1977</v>
      </c>
      <c r="D667">
        <f t="shared" ca="1" si="20"/>
        <v>48</v>
      </c>
      <c r="E667" s="5" t="s">
        <v>6</v>
      </c>
      <c r="F667" t="s">
        <v>29</v>
      </c>
      <c r="G667" s="4" t="str">
        <f t="shared" si="21"/>
        <v>&lt;500.000</v>
      </c>
      <c r="H667" t="s">
        <v>63</v>
      </c>
      <c r="I667">
        <v>2</v>
      </c>
      <c r="J667" t="s">
        <v>8</v>
      </c>
      <c r="K667" s="5" t="s">
        <v>114</v>
      </c>
      <c r="L667" s="5" t="s">
        <v>11</v>
      </c>
      <c r="M667" s="5" t="s">
        <v>57</v>
      </c>
      <c r="N667" s="5" t="s">
        <v>58</v>
      </c>
      <c r="O667" s="5" t="s">
        <v>89</v>
      </c>
      <c r="P667" s="5" t="s">
        <v>15</v>
      </c>
      <c r="Q667" s="5" t="s">
        <v>17</v>
      </c>
      <c r="R667" s="5" t="s">
        <v>43</v>
      </c>
      <c r="S667" s="5" t="s">
        <v>21</v>
      </c>
      <c r="T667" s="6" t="s">
        <v>73</v>
      </c>
      <c r="U667" s="6">
        <v>0</v>
      </c>
      <c r="V667" s="6" t="s">
        <v>73</v>
      </c>
      <c r="W667" s="6">
        <v>0</v>
      </c>
      <c r="X667" s="6" t="s">
        <v>46</v>
      </c>
      <c r="Y667">
        <v>2</v>
      </c>
      <c r="Z667" s="5" t="s">
        <v>46</v>
      </c>
      <c r="AA667" s="5" t="s">
        <v>46</v>
      </c>
      <c r="AB667" s="5" t="s">
        <v>46</v>
      </c>
    </row>
    <row r="668" spans="1:28" x14ac:dyDescent="0.35">
      <c r="A668" s="8" t="s">
        <v>1054</v>
      </c>
      <c r="B668" s="5" t="s">
        <v>727</v>
      </c>
      <c r="C668">
        <v>1983</v>
      </c>
      <c r="D668">
        <f t="shared" ca="1" si="20"/>
        <v>42</v>
      </c>
      <c r="E668" s="5" t="s">
        <v>28</v>
      </c>
      <c r="F668" t="s">
        <v>29</v>
      </c>
      <c r="G668" s="4" t="str">
        <f t="shared" si="21"/>
        <v>&lt;500.000</v>
      </c>
      <c r="H668" t="s">
        <v>63</v>
      </c>
      <c r="I668">
        <v>2</v>
      </c>
      <c r="J668" t="s">
        <v>8</v>
      </c>
      <c r="K668" s="5" t="s">
        <v>114</v>
      </c>
      <c r="L668" s="5" t="s">
        <v>11</v>
      </c>
      <c r="M668" s="5" t="s">
        <v>57</v>
      </c>
      <c r="N668" s="5" t="s">
        <v>58</v>
      </c>
      <c r="O668" s="5" t="s">
        <v>89</v>
      </c>
      <c r="P668" s="5" t="s">
        <v>15</v>
      </c>
      <c r="Q668" s="5" t="s">
        <v>17</v>
      </c>
      <c r="R668" s="5" t="s">
        <v>43</v>
      </c>
      <c r="S668" s="5" t="s">
        <v>21</v>
      </c>
      <c r="T668" s="6" t="s">
        <v>73</v>
      </c>
      <c r="U668" s="6">
        <v>0</v>
      </c>
      <c r="V668" s="6" t="s">
        <v>73</v>
      </c>
      <c r="W668" s="6">
        <v>0</v>
      </c>
      <c r="X668" s="6" t="s">
        <v>46</v>
      </c>
      <c r="Y668">
        <v>2</v>
      </c>
      <c r="Z668" s="5" t="s">
        <v>46</v>
      </c>
      <c r="AA668" s="5" t="s">
        <v>46</v>
      </c>
      <c r="AB668" s="5" t="s">
        <v>46</v>
      </c>
    </row>
    <row r="669" spans="1:28" x14ac:dyDescent="0.35">
      <c r="A669" s="8" t="s">
        <v>1055</v>
      </c>
      <c r="B669" s="5" t="s">
        <v>728</v>
      </c>
      <c r="C669">
        <v>1983</v>
      </c>
      <c r="D669">
        <f t="shared" ca="1" si="20"/>
        <v>42</v>
      </c>
      <c r="E669" s="5" t="s">
        <v>6</v>
      </c>
      <c r="F669" t="s">
        <v>29</v>
      </c>
      <c r="G669" s="4" t="str">
        <f t="shared" si="21"/>
        <v>&lt;500.000</v>
      </c>
      <c r="H669" t="s">
        <v>63</v>
      </c>
      <c r="I669">
        <v>3</v>
      </c>
      <c r="J669" t="s">
        <v>48</v>
      </c>
      <c r="K669" s="5" t="s">
        <v>114</v>
      </c>
      <c r="L669" s="5" t="s">
        <v>11</v>
      </c>
      <c r="M669" s="5" t="s">
        <v>57</v>
      </c>
      <c r="N669" s="5" t="s">
        <v>58</v>
      </c>
      <c r="O669" s="5" t="s">
        <v>42</v>
      </c>
      <c r="P669" s="5" t="s">
        <v>15</v>
      </c>
      <c r="Q669" s="5" t="s">
        <v>17</v>
      </c>
      <c r="R669" s="5" t="s">
        <v>43</v>
      </c>
      <c r="S669" s="5" t="s">
        <v>21</v>
      </c>
      <c r="T669" s="6" t="s">
        <v>73</v>
      </c>
      <c r="U669" s="6">
        <v>0</v>
      </c>
      <c r="V669" s="6" t="s">
        <v>76</v>
      </c>
      <c r="W669" s="6">
        <v>1</v>
      </c>
      <c r="X669" s="6" t="s">
        <v>46</v>
      </c>
      <c r="Y669">
        <v>3</v>
      </c>
      <c r="Z669" s="5" t="s">
        <v>46</v>
      </c>
      <c r="AA669" s="5" t="s">
        <v>46</v>
      </c>
      <c r="AB669" s="5" t="s">
        <v>46</v>
      </c>
    </row>
    <row r="670" spans="1:28" x14ac:dyDescent="0.35">
      <c r="A670" s="8" t="s">
        <v>1056</v>
      </c>
      <c r="B670" s="5" t="s">
        <v>729</v>
      </c>
      <c r="C670">
        <v>1959</v>
      </c>
      <c r="D670">
        <f t="shared" ca="1" si="20"/>
        <v>66</v>
      </c>
      <c r="E670" s="5" t="s">
        <v>6</v>
      </c>
      <c r="F670" t="s">
        <v>29</v>
      </c>
      <c r="G670" s="4" t="str">
        <f t="shared" si="21"/>
        <v>&lt;500.000</v>
      </c>
      <c r="H670" t="s">
        <v>30</v>
      </c>
      <c r="I670">
        <v>0</v>
      </c>
      <c r="J670" t="s">
        <v>48</v>
      </c>
      <c r="K670" s="5" t="s">
        <v>10</v>
      </c>
      <c r="L670" s="5" t="s">
        <v>11</v>
      </c>
      <c r="M670" s="5" t="s">
        <v>40</v>
      </c>
      <c r="N670" s="5" t="s">
        <v>37</v>
      </c>
      <c r="O670" s="5" t="s">
        <v>42</v>
      </c>
      <c r="P670" s="5" t="s">
        <v>15</v>
      </c>
      <c r="Q670" s="5" t="s">
        <v>17</v>
      </c>
      <c r="R670" s="5" t="s">
        <v>43</v>
      </c>
      <c r="S670" s="5" t="s">
        <v>21</v>
      </c>
      <c r="T670" s="6" t="s">
        <v>73</v>
      </c>
      <c r="U670" s="6">
        <v>0</v>
      </c>
      <c r="V670" s="6" t="s">
        <v>256</v>
      </c>
      <c r="W670" s="6">
        <v>1</v>
      </c>
      <c r="X670" s="6" t="s">
        <v>60</v>
      </c>
      <c r="Y670">
        <v>0</v>
      </c>
      <c r="Z670" s="5" t="s">
        <v>46</v>
      </c>
      <c r="AA670" s="5" t="s">
        <v>44</v>
      </c>
      <c r="AB670" s="5" t="s">
        <v>74</v>
      </c>
    </row>
    <row r="671" spans="1:28" x14ac:dyDescent="0.35">
      <c r="A671" s="8" t="s">
        <v>1057</v>
      </c>
      <c r="B671" s="5" t="s">
        <v>730</v>
      </c>
      <c r="C671">
        <v>1993</v>
      </c>
      <c r="D671">
        <f t="shared" ca="1" si="20"/>
        <v>32</v>
      </c>
      <c r="E671" s="5" t="s">
        <v>6</v>
      </c>
      <c r="F671" t="s">
        <v>29</v>
      </c>
      <c r="G671" s="4" t="str">
        <f t="shared" si="21"/>
        <v>&lt;500.000</v>
      </c>
      <c r="H671" t="s">
        <v>63</v>
      </c>
      <c r="I671">
        <v>2</v>
      </c>
      <c r="J671" t="s">
        <v>72</v>
      </c>
      <c r="K671" s="5" t="s">
        <v>38</v>
      </c>
      <c r="L671" s="5" t="s">
        <v>11</v>
      </c>
      <c r="M671" s="5" t="s">
        <v>57</v>
      </c>
      <c r="N671" s="5" t="s">
        <v>58</v>
      </c>
      <c r="O671" s="5" t="s">
        <v>42</v>
      </c>
      <c r="P671" s="5" t="s">
        <v>15</v>
      </c>
      <c r="Q671" s="5" t="s">
        <v>17</v>
      </c>
      <c r="R671" s="5" t="s">
        <v>43</v>
      </c>
      <c r="S671" s="5" t="s">
        <v>21</v>
      </c>
      <c r="T671" s="6" t="s">
        <v>73</v>
      </c>
      <c r="U671" s="6">
        <v>0</v>
      </c>
      <c r="V671" s="6" t="s">
        <v>73</v>
      </c>
      <c r="W671" s="6">
        <v>0</v>
      </c>
      <c r="X671" s="6" t="s">
        <v>46</v>
      </c>
      <c r="Y671">
        <v>0</v>
      </c>
      <c r="Z671" s="5" t="s">
        <v>64</v>
      </c>
      <c r="AA671" s="5" t="s">
        <v>46</v>
      </c>
      <c r="AB671" s="5" t="s">
        <v>46</v>
      </c>
    </row>
    <row r="672" spans="1:28" x14ac:dyDescent="0.35">
      <c r="A672" s="8" t="s">
        <v>1058</v>
      </c>
      <c r="B672" s="5" t="s">
        <v>731</v>
      </c>
      <c r="C672">
        <v>1998</v>
      </c>
      <c r="D672">
        <f t="shared" ca="1" si="20"/>
        <v>27</v>
      </c>
      <c r="E672" s="5" t="s">
        <v>28</v>
      </c>
      <c r="F672" t="s">
        <v>119</v>
      </c>
      <c r="G672" s="4" t="str">
        <f t="shared" si="21"/>
        <v>&lt;500.000</v>
      </c>
      <c r="H672" t="s">
        <v>63</v>
      </c>
      <c r="I672">
        <v>2</v>
      </c>
      <c r="J672" t="s">
        <v>72</v>
      </c>
      <c r="K672" s="5" t="s">
        <v>38</v>
      </c>
      <c r="L672" s="5" t="s">
        <v>11</v>
      </c>
      <c r="M672" s="5" t="s">
        <v>57</v>
      </c>
      <c r="N672" s="5" t="s">
        <v>58</v>
      </c>
      <c r="O672" s="5" t="s">
        <v>42</v>
      </c>
      <c r="P672" s="5" t="s">
        <v>15</v>
      </c>
      <c r="Q672" s="5" t="s">
        <v>17</v>
      </c>
      <c r="R672" s="5" t="s">
        <v>43</v>
      </c>
      <c r="S672" s="5" t="s">
        <v>21</v>
      </c>
      <c r="T672" s="6" t="s">
        <v>73</v>
      </c>
      <c r="U672" s="6">
        <v>0</v>
      </c>
      <c r="V672" s="6" t="s">
        <v>73</v>
      </c>
      <c r="W672" s="6">
        <v>0</v>
      </c>
      <c r="X672" s="6" t="s">
        <v>46</v>
      </c>
      <c r="Y672">
        <v>0</v>
      </c>
      <c r="Z672" s="5" t="s">
        <v>64</v>
      </c>
      <c r="AA672" s="5" t="s">
        <v>46</v>
      </c>
      <c r="AB672" s="5" t="s">
        <v>46</v>
      </c>
    </row>
    <row r="673" spans="1:28" x14ac:dyDescent="0.35">
      <c r="A673" s="8" t="s">
        <v>1059</v>
      </c>
      <c r="B673" s="5" t="s">
        <v>732</v>
      </c>
      <c r="C673">
        <v>1985</v>
      </c>
      <c r="D673">
        <f t="shared" ca="1" si="20"/>
        <v>40</v>
      </c>
      <c r="E673" s="5" t="s">
        <v>6</v>
      </c>
      <c r="F673" t="s">
        <v>29</v>
      </c>
      <c r="G673" s="4" t="str">
        <f t="shared" si="21"/>
        <v>&lt;500.000</v>
      </c>
      <c r="H673" t="s">
        <v>63</v>
      </c>
      <c r="I673">
        <v>1</v>
      </c>
      <c r="J673" t="s">
        <v>8</v>
      </c>
      <c r="K673" s="5" t="s">
        <v>114</v>
      </c>
      <c r="L673" s="5" t="s">
        <v>11</v>
      </c>
      <c r="M673" s="5" t="s">
        <v>57</v>
      </c>
      <c r="N673" s="5" t="s">
        <v>58</v>
      </c>
      <c r="O673" s="5" t="s">
        <v>42</v>
      </c>
      <c r="P673" s="5" t="s">
        <v>15</v>
      </c>
      <c r="Q673" s="5" t="s">
        <v>17</v>
      </c>
      <c r="R673" s="5" t="s">
        <v>43</v>
      </c>
      <c r="S673" s="5" t="s">
        <v>21</v>
      </c>
      <c r="T673" s="6" t="s">
        <v>73</v>
      </c>
      <c r="U673" s="6">
        <v>0</v>
      </c>
      <c r="V673" s="6" t="s">
        <v>73</v>
      </c>
      <c r="W673" s="6">
        <v>0</v>
      </c>
      <c r="X673" s="6" t="s">
        <v>46</v>
      </c>
      <c r="Y673">
        <v>1</v>
      </c>
      <c r="Z673" s="5" t="s">
        <v>46</v>
      </c>
      <c r="AA673" s="5" t="s">
        <v>46</v>
      </c>
      <c r="AB673" s="5" t="s">
        <v>46</v>
      </c>
    </row>
    <row r="674" spans="1:28" x14ac:dyDescent="0.35">
      <c r="A674" s="8" t="s">
        <v>1060</v>
      </c>
      <c r="B674" s="5" t="s">
        <v>733</v>
      </c>
      <c r="C674">
        <v>1993</v>
      </c>
      <c r="D674">
        <f t="shared" ca="1" si="20"/>
        <v>32</v>
      </c>
      <c r="E674" s="5" t="s">
        <v>28</v>
      </c>
      <c r="F674" t="s">
        <v>162</v>
      </c>
      <c r="G674" s="4" t="str">
        <f t="shared" si="21"/>
        <v>1.000.000–2.000.000</v>
      </c>
      <c r="H674" t="s">
        <v>63</v>
      </c>
      <c r="I674">
        <v>1</v>
      </c>
      <c r="J674" t="s">
        <v>8</v>
      </c>
      <c r="K674" s="5" t="s">
        <v>114</v>
      </c>
      <c r="L674" s="5" t="s">
        <v>11</v>
      </c>
      <c r="M674" s="5" t="s">
        <v>57</v>
      </c>
      <c r="N674" s="5" t="s">
        <v>58</v>
      </c>
      <c r="O674" s="5" t="s">
        <v>42</v>
      </c>
      <c r="P674" s="5" t="s">
        <v>15</v>
      </c>
      <c r="Q674" s="5" t="s">
        <v>17</v>
      </c>
      <c r="R674" s="5" t="s">
        <v>43</v>
      </c>
      <c r="S674" s="5" t="s">
        <v>21</v>
      </c>
      <c r="T674" s="6" t="s">
        <v>73</v>
      </c>
      <c r="U674" s="6">
        <v>0</v>
      </c>
      <c r="V674" s="6" t="s">
        <v>73</v>
      </c>
      <c r="W674" s="6">
        <v>0</v>
      </c>
      <c r="X674" s="6" t="s">
        <v>46</v>
      </c>
      <c r="Y674">
        <v>1</v>
      </c>
      <c r="Z674" s="5" t="s">
        <v>46</v>
      </c>
      <c r="AA674" s="5" t="s">
        <v>46</v>
      </c>
      <c r="AB674" s="5" t="s">
        <v>46</v>
      </c>
    </row>
    <row r="675" spans="1:28" x14ac:dyDescent="0.35">
      <c r="A675" s="8" t="s">
        <v>1061</v>
      </c>
      <c r="B675" s="5" t="s">
        <v>734</v>
      </c>
      <c r="C675">
        <v>1979</v>
      </c>
      <c r="D675">
        <f t="shared" ca="1" si="20"/>
        <v>46</v>
      </c>
      <c r="E675" s="5" t="s">
        <v>6</v>
      </c>
      <c r="F675" t="s">
        <v>29</v>
      </c>
      <c r="G675" s="4" t="str">
        <f t="shared" si="21"/>
        <v>500.000–1.000.000</v>
      </c>
      <c r="H675" t="s">
        <v>7</v>
      </c>
      <c r="I675">
        <v>2</v>
      </c>
      <c r="J675" t="s">
        <v>8</v>
      </c>
      <c r="K675" s="5" t="s">
        <v>114</v>
      </c>
      <c r="L675" s="5" t="s">
        <v>11</v>
      </c>
      <c r="M675" s="5" t="s">
        <v>57</v>
      </c>
      <c r="N675" s="5" t="s">
        <v>58</v>
      </c>
      <c r="O675" s="5" t="s">
        <v>42</v>
      </c>
      <c r="P675" s="5" t="s">
        <v>15</v>
      </c>
      <c r="Q675" s="5" t="s">
        <v>17</v>
      </c>
      <c r="R675" s="5" t="s">
        <v>43</v>
      </c>
      <c r="S675" s="5" t="s">
        <v>21</v>
      </c>
      <c r="T675" s="6" t="s">
        <v>23</v>
      </c>
      <c r="U675" s="6">
        <v>1</v>
      </c>
      <c r="V675" s="6" t="s">
        <v>26</v>
      </c>
      <c r="W675" s="6">
        <v>1</v>
      </c>
      <c r="X675" s="6" t="s">
        <v>60</v>
      </c>
      <c r="Y675">
        <v>0</v>
      </c>
      <c r="Z675" s="5" t="s">
        <v>46</v>
      </c>
      <c r="AA675" s="5" t="s">
        <v>46</v>
      </c>
      <c r="AB675" s="5" t="s">
        <v>46</v>
      </c>
    </row>
    <row r="676" spans="1:28" x14ac:dyDescent="0.35">
      <c r="A676" s="8" t="s">
        <v>1062</v>
      </c>
      <c r="B676" s="5" t="s">
        <v>735</v>
      </c>
      <c r="C676">
        <v>1960</v>
      </c>
      <c r="D676">
        <f t="shared" ref="D676:D699" ca="1" si="22">YEAR(TODAY()) - C676</f>
        <v>65</v>
      </c>
      <c r="E676" s="5" t="s">
        <v>6</v>
      </c>
      <c r="F676" t="s">
        <v>151</v>
      </c>
      <c r="G676" s="4" t="str">
        <f t="shared" si="21"/>
        <v>500.000–1.000.000</v>
      </c>
      <c r="H676" t="s">
        <v>7</v>
      </c>
      <c r="I676">
        <v>1</v>
      </c>
      <c r="J676" t="s">
        <v>8</v>
      </c>
      <c r="K676" s="5" t="s">
        <v>114</v>
      </c>
      <c r="L676" s="5" t="s">
        <v>11</v>
      </c>
      <c r="M676" s="5" t="s">
        <v>57</v>
      </c>
      <c r="N676" s="5" t="s">
        <v>58</v>
      </c>
      <c r="O676" s="5" t="s">
        <v>42</v>
      </c>
      <c r="P676" s="5" t="s">
        <v>15</v>
      </c>
      <c r="Q676" s="5" t="s">
        <v>17</v>
      </c>
      <c r="R676" s="5" t="s">
        <v>43</v>
      </c>
      <c r="S676" s="5" t="s">
        <v>21</v>
      </c>
      <c r="T676" s="6" t="s">
        <v>23</v>
      </c>
      <c r="U676" s="6">
        <v>1</v>
      </c>
      <c r="V676" s="6" t="s">
        <v>117</v>
      </c>
      <c r="W676" s="6">
        <v>1</v>
      </c>
      <c r="X676" s="6" t="s">
        <v>46</v>
      </c>
      <c r="Y676">
        <v>0</v>
      </c>
      <c r="Z676" s="5" t="s">
        <v>46</v>
      </c>
      <c r="AA676" s="5" t="s">
        <v>44</v>
      </c>
      <c r="AB676" s="5" t="s">
        <v>35</v>
      </c>
    </row>
    <row r="677" spans="1:28" x14ac:dyDescent="0.35">
      <c r="A677" s="8" t="s">
        <v>1063</v>
      </c>
      <c r="B677" s="5" t="s">
        <v>736</v>
      </c>
      <c r="C677">
        <v>1960</v>
      </c>
      <c r="D677">
        <f t="shared" ca="1" si="22"/>
        <v>65</v>
      </c>
      <c r="E677" s="5" t="s">
        <v>6</v>
      </c>
      <c r="F677" t="s">
        <v>151</v>
      </c>
      <c r="G677" s="4" t="str">
        <f t="shared" ref="G677:G724" si="23">IF(OR(
    F677="Tidak bekerja",
    F677="Pekerja keluarga/Tidak dibayar"),
    IF(OR(H677="Tidak Sekolah", H677="SD"), "&lt;500.000", "500.000–1.000.000"),
IF(OR(
    F677="Pekerja Bebas Pertanian",
    F677="Pekerja Bebas non-Pertanian"),
    IF(OR(H677="Tidak Sekolah", H677="SD", H677="SMP"), "500.000–1.000.000", "1.000.000–2.000.000"),
IF(F677="Buruh/Karyawan/Pegawai Swasta",
    IF(OR(H677="SD", H677="SMP"), "500.000–1.000.000",
       IF(OR(H677="SMA/SMK", H677="D1/2/3"), "1.000.000–2.000.000", "2.000.000–3.000.000")
    ),
IF(F677="Berusaha Sendiri",
    IF(OR(H677="SD", H677="SMP"), "500.000–1.000.000", "1.000.000–2.000.000"),
IF(F677="Berusaha dibantu buruh tidak tetap/Tidak dibayar", "1.000.000–2.000.000",
IF(F677="Berusaha dibantu buruh tetap/Dibayar", "2.000.000–3.000.000",
IF(F677="PNS/TNI/Polri/BUMN/BUMD/Anggota Legislatif", "2.000.000–3.000.000",
""
)))))))</f>
        <v>500.000–1.000.000</v>
      </c>
      <c r="H677" t="s">
        <v>30</v>
      </c>
      <c r="I677">
        <v>1</v>
      </c>
      <c r="J677" t="s">
        <v>8</v>
      </c>
      <c r="K677" s="5" t="s">
        <v>38</v>
      </c>
      <c r="L677" s="5" t="s">
        <v>11</v>
      </c>
      <c r="M677" s="5" t="s">
        <v>57</v>
      </c>
      <c r="N677" s="5" t="s">
        <v>58</v>
      </c>
      <c r="O677" s="5" t="s">
        <v>42</v>
      </c>
      <c r="P677" s="5" t="s">
        <v>15</v>
      </c>
      <c r="Q677" s="5" t="s">
        <v>17</v>
      </c>
      <c r="R677" s="5" t="s">
        <v>43</v>
      </c>
      <c r="S677" s="5" t="s">
        <v>21</v>
      </c>
      <c r="T677" s="6" t="s">
        <v>23</v>
      </c>
      <c r="U677" s="6">
        <v>1</v>
      </c>
      <c r="V677" s="6" t="s">
        <v>73</v>
      </c>
      <c r="W677" s="6">
        <v>0</v>
      </c>
      <c r="X677" s="6" t="s">
        <v>46</v>
      </c>
      <c r="Y677">
        <v>0</v>
      </c>
      <c r="Z677" s="5" t="s">
        <v>46</v>
      </c>
      <c r="AA677" s="5" t="s">
        <v>64</v>
      </c>
      <c r="AB677" s="5" t="s">
        <v>46</v>
      </c>
    </row>
    <row r="678" spans="1:28" x14ac:dyDescent="0.35">
      <c r="A678" s="8" t="s">
        <v>1064</v>
      </c>
      <c r="B678" s="5" t="s">
        <v>737</v>
      </c>
      <c r="C678">
        <v>1959</v>
      </c>
      <c r="D678">
        <f t="shared" ca="1" si="22"/>
        <v>66</v>
      </c>
      <c r="E678" s="5" t="s">
        <v>28</v>
      </c>
      <c r="F678" t="s">
        <v>151</v>
      </c>
      <c r="G678" s="4" t="str">
        <f t="shared" si="23"/>
        <v>500.000–1.000.000</v>
      </c>
      <c r="H678" t="s">
        <v>30</v>
      </c>
      <c r="I678">
        <v>1</v>
      </c>
      <c r="J678" t="s">
        <v>8</v>
      </c>
      <c r="K678" s="5" t="s">
        <v>38</v>
      </c>
      <c r="L678" s="5" t="s">
        <v>11</v>
      </c>
      <c r="M678" s="5" t="s">
        <v>57</v>
      </c>
      <c r="N678" s="5" t="s">
        <v>58</v>
      </c>
      <c r="O678" s="5" t="s">
        <v>42</v>
      </c>
      <c r="P678" s="5" t="s">
        <v>15</v>
      </c>
      <c r="Q678" s="5" t="s">
        <v>17</v>
      </c>
      <c r="R678" s="5" t="s">
        <v>43</v>
      </c>
      <c r="S678" s="5" t="s">
        <v>21</v>
      </c>
      <c r="T678" s="6" t="s">
        <v>23</v>
      </c>
      <c r="U678" s="6">
        <v>1</v>
      </c>
      <c r="V678" s="6" t="s">
        <v>73</v>
      </c>
      <c r="W678" s="6">
        <v>0</v>
      </c>
      <c r="X678" s="6" t="s">
        <v>46</v>
      </c>
      <c r="Y678">
        <v>0</v>
      </c>
      <c r="Z678" s="5" t="s">
        <v>46</v>
      </c>
      <c r="AA678" s="5" t="s">
        <v>64</v>
      </c>
      <c r="AB678" s="5" t="s">
        <v>46</v>
      </c>
    </row>
    <row r="679" spans="1:28" x14ac:dyDescent="0.35">
      <c r="A679" s="8" t="s">
        <v>1065</v>
      </c>
      <c r="B679" s="5" t="s">
        <v>738</v>
      </c>
      <c r="C679">
        <v>1969</v>
      </c>
      <c r="D679">
        <f t="shared" ca="1" si="22"/>
        <v>56</v>
      </c>
      <c r="E679" s="5" t="s">
        <v>6</v>
      </c>
      <c r="F679" t="s">
        <v>29</v>
      </c>
      <c r="G679" s="4" t="str">
        <f t="shared" si="23"/>
        <v>500.000–1.000.000</v>
      </c>
      <c r="H679" t="s">
        <v>139</v>
      </c>
      <c r="I679">
        <v>0</v>
      </c>
      <c r="J679" t="s">
        <v>8</v>
      </c>
      <c r="K679" s="5" t="s">
        <v>114</v>
      </c>
      <c r="L679" s="5" t="s">
        <v>11</v>
      </c>
      <c r="M679" s="5" t="s">
        <v>57</v>
      </c>
      <c r="N679" s="5" t="s">
        <v>58</v>
      </c>
      <c r="O679" s="5" t="s">
        <v>42</v>
      </c>
      <c r="P679" s="5" t="s">
        <v>15</v>
      </c>
      <c r="Q679" s="5" t="s">
        <v>17</v>
      </c>
      <c r="R679" s="5" t="s">
        <v>43</v>
      </c>
      <c r="S679" s="5" t="s">
        <v>21</v>
      </c>
      <c r="T679" s="6" t="s">
        <v>599</v>
      </c>
      <c r="U679" s="6">
        <v>1</v>
      </c>
      <c r="V679" s="6" t="s">
        <v>26</v>
      </c>
      <c r="W679" s="6">
        <v>1</v>
      </c>
      <c r="X679" s="6" t="s">
        <v>44</v>
      </c>
      <c r="Y679">
        <v>0</v>
      </c>
      <c r="Z679" s="5" t="s">
        <v>46</v>
      </c>
      <c r="AA679" s="5" t="s">
        <v>46</v>
      </c>
      <c r="AB679" s="5" t="s">
        <v>46</v>
      </c>
    </row>
    <row r="680" spans="1:28" x14ac:dyDescent="0.35">
      <c r="A680" s="8" t="s">
        <v>1066</v>
      </c>
      <c r="B680" s="5" t="s">
        <v>456</v>
      </c>
      <c r="C680">
        <v>1968</v>
      </c>
      <c r="D680">
        <f t="shared" ca="1" si="22"/>
        <v>57</v>
      </c>
      <c r="E680" s="5" t="s">
        <v>6</v>
      </c>
      <c r="F680" t="s">
        <v>29</v>
      </c>
      <c r="G680" s="4" t="str">
        <f t="shared" si="23"/>
        <v>500.000–1.000.000</v>
      </c>
      <c r="H680" t="s">
        <v>139</v>
      </c>
      <c r="I680">
        <v>0</v>
      </c>
      <c r="J680" t="s">
        <v>8</v>
      </c>
      <c r="K680" s="5" t="s">
        <v>114</v>
      </c>
      <c r="L680" s="5" t="s">
        <v>11</v>
      </c>
      <c r="M680" s="5" t="s">
        <v>57</v>
      </c>
      <c r="N680" s="5" t="s">
        <v>58</v>
      </c>
      <c r="O680" s="5" t="s">
        <v>42</v>
      </c>
      <c r="P680" s="5" t="s">
        <v>15</v>
      </c>
      <c r="Q680" s="5" t="s">
        <v>17</v>
      </c>
      <c r="R680" s="5" t="s">
        <v>43</v>
      </c>
      <c r="S680" s="5" t="s">
        <v>21</v>
      </c>
      <c r="T680" s="6" t="s">
        <v>599</v>
      </c>
      <c r="U680" s="6">
        <v>1</v>
      </c>
      <c r="V680" s="6" t="s">
        <v>26</v>
      </c>
      <c r="W680" s="6">
        <v>1</v>
      </c>
      <c r="X680" s="6" t="s">
        <v>46</v>
      </c>
      <c r="Y680">
        <v>0</v>
      </c>
      <c r="Z680" s="5" t="s">
        <v>46</v>
      </c>
      <c r="AA680" s="5" t="s">
        <v>46</v>
      </c>
      <c r="AB680" s="5" t="s">
        <v>46</v>
      </c>
    </row>
    <row r="681" spans="1:28" x14ac:dyDescent="0.35">
      <c r="A681" s="8" t="s">
        <v>1067</v>
      </c>
      <c r="B681" s="5" t="s">
        <v>739</v>
      </c>
      <c r="C681">
        <v>1987</v>
      </c>
      <c r="D681">
        <f t="shared" ca="1" si="22"/>
        <v>38</v>
      </c>
      <c r="E681" s="5" t="s">
        <v>6</v>
      </c>
      <c r="F681" t="s">
        <v>137</v>
      </c>
      <c r="G681" s="4" t="str">
        <f t="shared" si="23"/>
        <v>500.000–1.000.000</v>
      </c>
      <c r="H681" t="s">
        <v>7</v>
      </c>
      <c r="I681">
        <v>2</v>
      </c>
      <c r="J681" t="s">
        <v>8</v>
      </c>
      <c r="K681" s="5" t="s">
        <v>114</v>
      </c>
      <c r="L681" s="5" t="s">
        <v>11</v>
      </c>
      <c r="M681" s="5" t="s">
        <v>57</v>
      </c>
      <c r="N681" s="5" t="s">
        <v>58</v>
      </c>
      <c r="O681" s="5" t="s">
        <v>42</v>
      </c>
      <c r="P681" s="5" t="s">
        <v>15</v>
      </c>
      <c r="Q681" s="5" t="s">
        <v>17</v>
      </c>
      <c r="R681" s="5" t="s">
        <v>43</v>
      </c>
      <c r="S681" s="5" t="s">
        <v>21</v>
      </c>
      <c r="T681" s="6" t="s">
        <v>23</v>
      </c>
      <c r="U681" s="6">
        <v>1</v>
      </c>
      <c r="V681" s="6" t="s">
        <v>26</v>
      </c>
      <c r="W681" s="6">
        <v>1</v>
      </c>
      <c r="X681" s="6" t="s">
        <v>60</v>
      </c>
      <c r="Y681">
        <v>1</v>
      </c>
      <c r="Z681" s="5" t="s">
        <v>44</v>
      </c>
      <c r="AA681" s="5" t="s">
        <v>46</v>
      </c>
      <c r="AB681" s="5" t="s">
        <v>46</v>
      </c>
    </row>
    <row r="682" spans="1:28" x14ac:dyDescent="0.35">
      <c r="A682" s="8" t="s">
        <v>1068</v>
      </c>
      <c r="B682" s="5" t="s">
        <v>740</v>
      </c>
      <c r="C682">
        <v>1998</v>
      </c>
      <c r="D682">
        <f t="shared" ca="1" si="22"/>
        <v>27</v>
      </c>
      <c r="E682" s="5" t="s">
        <v>28</v>
      </c>
      <c r="F682" t="s">
        <v>29</v>
      </c>
      <c r="G682" s="4" t="str">
        <f t="shared" si="23"/>
        <v>500.000–1.000.000</v>
      </c>
      <c r="H682" t="s">
        <v>7</v>
      </c>
      <c r="I682">
        <v>2</v>
      </c>
      <c r="J682" t="s">
        <v>8</v>
      </c>
      <c r="K682" s="5" t="s">
        <v>114</v>
      </c>
      <c r="L682" s="5" t="s">
        <v>11</v>
      </c>
      <c r="M682" s="5" t="s">
        <v>57</v>
      </c>
      <c r="N682" s="5" t="s">
        <v>58</v>
      </c>
      <c r="O682" s="5" t="s">
        <v>42</v>
      </c>
      <c r="P682" s="5" t="s">
        <v>15</v>
      </c>
      <c r="Q682" s="5" t="s">
        <v>17</v>
      </c>
      <c r="R682" s="5" t="s">
        <v>43</v>
      </c>
      <c r="S682" s="5" t="s">
        <v>21</v>
      </c>
      <c r="T682" s="6" t="s">
        <v>23</v>
      </c>
      <c r="U682" s="6">
        <v>1</v>
      </c>
      <c r="V682" s="6" t="s">
        <v>26</v>
      </c>
      <c r="W682" s="6">
        <v>1</v>
      </c>
      <c r="X682" s="6" t="s">
        <v>60</v>
      </c>
      <c r="Y682">
        <v>1</v>
      </c>
      <c r="Z682" s="5" t="s">
        <v>44</v>
      </c>
      <c r="AA682" s="5" t="s">
        <v>46</v>
      </c>
      <c r="AB682" s="5" t="s">
        <v>46</v>
      </c>
    </row>
    <row r="683" spans="1:28" x14ac:dyDescent="0.35">
      <c r="A683" s="8" t="s">
        <v>1069</v>
      </c>
      <c r="B683" s="5" t="s">
        <v>741</v>
      </c>
      <c r="C683">
        <v>1992</v>
      </c>
      <c r="D683">
        <f t="shared" ca="1" si="22"/>
        <v>33</v>
      </c>
      <c r="E683" s="5" t="s">
        <v>6</v>
      </c>
      <c r="F683" t="s">
        <v>137</v>
      </c>
      <c r="G683" s="4" t="str">
        <f t="shared" si="23"/>
        <v>500.000–1.000.000</v>
      </c>
      <c r="H683" t="s">
        <v>7</v>
      </c>
      <c r="I683">
        <v>0</v>
      </c>
      <c r="J683" t="s">
        <v>48</v>
      </c>
      <c r="K683" s="5" t="s">
        <v>114</v>
      </c>
      <c r="L683" s="5" t="s">
        <v>11</v>
      </c>
      <c r="M683" s="5" t="s">
        <v>57</v>
      </c>
      <c r="N683" s="5" t="s">
        <v>58</v>
      </c>
      <c r="O683" s="5" t="s">
        <v>42</v>
      </c>
      <c r="P683" s="5" t="s">
        <v>15</v>
      </c>
      <c r="Q683" s="5" t="s">
        <v>17</v>
      </c>
      <c r="R683" s="5" t="s">
        <v>43</v>
      </c>
      <c r="S683" s="5" t="s">
        <v>21</v>
      </c>
      <c r="T683" s="6" t="s">
        <v>73</v>
      </c>
      <c r="U683" s="6">
        <v>0</v>
      </c>
      <c r="V683" s="6" t="s">
        <v>76</v>
      </c>
      <c r="W683" s="6">
        <v>1</v>
      </c>
      <c r="X683" s="6" t="s">
        <v>46</v>
      </c>
      <c r="Y683">
        <v>0</v>
      </c>
      <c r="Z683" s="5" t="s">
        <v>46</v>
      </c>
      <c r="AA683" s="5" t="s">
        <v>46</v>
      </c>
      <c r="AB683" s="5" t="s">
        <v>46</v>
      </c>
    </row>
    <row r="684" spans="1:28" x14ac:dyDescent="0.35">
      <c r="A684" s="8" t="s">
        <v>1070</v>
      </c>
      <c r="B684" s="5" t="s">
        <v>742</v>
      </c>
      <c r="C684">
        <v>1996</v>
      </c>
      <c r="D684">
        <f t="shared" ca="1" si="22"/>
        <v>29</v>
      </c>
      <c r="E684" s="5" t="s">
        <v>28</v>
      </c>
      <c r="F684" t="s">
        <v>54</v>
      </c>
      <c r="G684" s="4" t="str">
        <f t="shared" si="23"/>
        <v>2.000.000–3.000.000</v>
      </c>
      <c r="H684" t="s">
        <v>516</v>
      </c>
      <c r="I684">
        <v>0</v>
      </c>
      <c r="J684" t="s">
        <v>48</v>
      </c>
      <c r="K684" s="5" t="s">
        <v>114</v>
      </c>
      <c r="L684" s="5" t="s">
        <v>11</v>
      </c>
      <c r="M684" s="5" t="s">
        <v>57</v>
      </c>
      <c r="N684" s="5" t="s">
        <v>58</v>
      </c>
      <c r="O684" s="5" t="s">
        <v>42</v>
      </c>
      <c r="P684" s="5" t="s">
        <v>15</v>
      </c>
      <c r="Q684" s="5" t="s">
        <v>17</v>
      </c>
      <c r="R684" s="5" t="s">
        <v>43</v>
      </c>
      <c r="S684" s="5" t="s">
        <v>21</v>
      </c>
      <c r="T684" s="6" t="s">
        <v>73</v>
      </c>
      <c r="U684" s="6">
        <v>0</v>
      </c>
      <c r="V684" s="6" t="s">
        <v>76</v>
      </c>
      <c r="W684" s="6">
        <v>1</v>
      </c>
      <c r="X684" s="6" t="s">
        <v>46</v>
      </c>
      <c r="Y684">
        <v>0</v>
      </c>
      <c r="Z684" s="5" t="s">
        <v>46</v>
      </c>
      <c r="AA684" s="5" t="s">
        <v>46</v>
      </c>
      <c r="AB684" s="5" t="s">
        <v>46</v>
      </c>
    </row>
    <row r="685" spans="1:28" x14ac:dyDescent="0.35">
      <c r="A685" s="8" t="s">
        <v>1071</v>
      </c>
      <c r="B685" s="5" t="s">
        <v>743</v>
      </c>
      <c r="C685">
        <v>1948</v>
      </c>
      <c r="D685">
        <f t="shared" ca="1" si="22"/>
        <v>77</v>
      </c>
      <c r="E685" s="5" t="s">
        <v>6</v>
      </c>
      <c r="F685" t="s">
        <v>29</v>
      </c>
      <c r="G685" s="4" t="str">
        <f t="shared" si="23"/>
        <v>500.000–1.000.000</v>
      </c>
      <c r="H685" t="s">
        <v>7</v>
      </c>
      <c r="I685">
        <v>0</v>
      </c>
      <c r="J685" t="s">
        <v>48</v>
      </c>
      <c r="K685" s="5" t="s">
        <v>114</v>
      </c>
      <c r="L685" s="5" t="s">
        <v>11</v>
      </c>
      <c r="M685" s="5" t="s">
        <v>57</v>
      </c>
      <c r="N685" s="5" t="s">
        <v>58</v>
      </c>
      <c r="O685" s="5" t="s">
        <v>42</v>
      </c>
      <c r="P685" s="5" t="s">
        <v>15</v>
      </c>
      <c r="Q685" s="5" t="s">
        <v>17</v>
      </c>
      <c r="R685" s="5" t="s">
        <v>43</v>
      </c>
      <c r="S685" s="5" t="s">
        <v>21</v>
      </c>
      <c r="T685" s="6" t="s">
        <v>73</v>
      </c>
      <c r="U685" s="6">
        <v>0</v>
      </c>
      <c r="V685" s="6" t="s">
        <v>73</v>
      </c>
      <c r="W685" s="6">
        <v>0</v>
      </c>
      <c r="X685" s="6" t="s">
        <v>46</v>
      </c>
      <c r="Y685">
        <v>0</v>
      </c>
      <c r="Z685" s="5" t="s">
        <v>46</v>
      </c>
      <c r="AA685" s="5" t="s">
        <v>44</v>
      </c>
      <c r="AB685" s="5" t="s">
        <v>46</v>
      </c>
    </row>
    <row r="686" spans="1:28" x14ac:dyDescent="0.35">
      <c r="A686" s="8" t="s">
        <v>1072</v>
      </c>
      <c r="B686" s="5" t="s">
        <v>471</v>
      </c>
      <c r="C686">
        <v>1984</v>
      </c>
      <c r="D686">
        <f t="shared" ca="1" si="22"/>
        <v>41</v>
      </c>
      <c r="E686" s="5" t="s">
        <v>6</v>
      </c>
      <c r="F686" t="s">
        <v>29</v>
      </c>
      <c r="G686" s="4" t="str">
        <f t="shared" si="23"/>
        <v>&lt;500.000</v>
      </c>
      <c r="H686" t="s">
        <v>63</v>
      </c>
      <c r="I686">
        <v>3</v>
      </c>
      <c r="J686" t="s">
        <v>8</v>
      </c>
      <c r="K686" s="5" t="s">
        <v>114</v>
      </c>
      <c r="L686" s="5" t="s">
        <v>11</v>
      </c>
      <c r="M686" s="5" t="s">
        <v>57</v>
      </c>
      <c r="N686" s="5" t="s">
        <v>58</v>
      </c>
      <c r="O686" s="5" t="s">
        <v>42</v>
      </c>
      <c r="P686" s="5" t="s">
        <v>15</v>
      </c>
      <c r="Q686" s="5" t="s">
        <v>17</v>
      </c>
      <c r="R686" s="5" t="s">
        <v>43</v>
      </c>
      <c r="S686" s="5" t="s">
        <v>21</v>
      </c>
      <c r="T686" s="6" t="s">
        <v>84</v>
      </c>
      <c r="U686" s="6">
        <v>1</v>
      </c>
      <c r="V686" s="6" t="s">
        <v>26</v>
      </c>
      <c r="W686" s="6">
        <v>1</v>
      </c>
      <c r="X686" s="6" t="s">
        <v>46</v>
      </c>
      <c r="Y686">
        <v>2</v>
      </c>
      <c r="Z686" s="5" t="s">
        <v>44</v>
      </c>
      <c r="AA686" s="5" t="s">
        <v>46</v>
      </c>
      <c r="AB686" s="5" t="s">
        <v>46</v>
      </c>
    </row>
    <row r="687" spans="1:28" x14ac:dyDescent="0.35">
      <c r="A687" s="8" t="s">
        <v>1073</v>
      </c>
      <c r="B687" s="5" t="s">
        <v>744</v>
      </c>
      <c r="C687">
        <v>1988</v>
      </c>
      <c r="D687">
        <f t="shared" ca="1" si="22"/>
        <v>37</v>
      </c>
      <c r="E687" s="5" t="s">
        <v>28</v>
      </c>
      <c r="F687" t="s">
        <v>119</v>
      </c>
      <c r="G687" s="4" t="str">
        <f t="shared" si="23"/>
        <v>500.000–1.000.000</v>
      </c>
      <c r="H687" t="s">
        <v>139</v>
      </c>
      <c r="I687">
        <v>3</v>
      </c>
      <c r="J687" t="s">
        <v>8</v>
      </c>
      <c r="K687" s="5" t="s">
        <v>114</v>
      </c>
      <c r="L687" s="5" t="s">
        <v>11</v>
      </c>
      <c r="M687" s="5" t="s">
        <v>57</v>
      </c>
      <c r="N687" s="5" t="s">
        <v>58</v>
      </c>
      <c r="O687" s="5" t="s">
        <v>42</v>
      </c>
      <c r="P687" s="5" t="s">
        <v>15</v>
      </c>
      <c r="Q687" s="5" t="s">
        <v>17</v>
      </c>
      <c r="R687" s="5" t="s">
        <v>43</v>
      </c>
      <c r="S687" s="5" t="s">
        <v>21</v>
      </c>
      <c r="T687" s="6" t="s">
        <v>84</v>
      </c>
      <c r="U687" s="6">
        <v>1</v>
      </c>
      <c r="V687" s="6" t="s">
        <v>26</v>
      </c>
      <c r="W687" s="6">
        <v>1</v>
      </c>
      <c r="X687" s="6" t="s">
        <v>46</v>
      </c>
      <c r="Y687">
        <v>2</v>
      </c>
      <c r="Z687" s="5" t="s">
        <v>44</v>
      </c>
      <c r="AA687" s="5" t="s">
        <v>46</v>
      </c>
      <c r="AB687" s="5" t="s">
        <v>46</v>
      </c>
    </row>
    <row r="688" spans="1:28" x14ac:dyDescent="0.35">
      <c r="A688" s="8" t="s">
        <v>1074</v>
      </c>
      <c r="B688" s="5" t="s">
        <v>745</v>
      </c>
      <c r="C688">
        <v>1958</v>
      </c>
      <c r="D688">
        <f t="shared" ca="1" si="22"/>
        <v>67</v>
      </c>
      <c r="E688" s="5" t="s">
        <v>6</v>
      </c>
      <c r="F688" t="s">
        <v>54</v>
      </c>
      <c r="G688" s="4" t="str">
        <f t="shared" si="23"/>
        <v>500.000–1.000.000</v>
      </c>
      <c r="H688" t="s">
        <v>30</v>
      </c>
      <c r="I688">
        <v>1</v>
      </c>
      <c r="J688" t="s">
        <v>8</v>
      </c>
      <c r="K688" s="5" t="s">
        <v>114</v>
      </c>
      <c r="L688" s="5" t="s">
        <v>11</v>
      </c>
      <c r="M688" s="5" t="s">
        <v>57</v>
      </c>
      <c r="N688" s="5" t="s">
        <v>58</v>
      </c>
      <c r="O688" s="5" t="s">
        <v>42</v>
      </c>
      <c r="P688" s="5" t="s">
        <v>15</v>
      </c>
      <c r="Q688" s="5" t="s">
        <v>17</v>
      </c>
      <c r="R688" s="5" t="s">
        <v>43</v>
      </c>
      <c r="S688" s="5" t="s">
        <v>21</v>
      </c>
      <c r="T688" s="6" t="s">
        <v>23</v>
      </c>
      <c r="U688" s="6">
        <v>1</v>
      </c>
      <c r="V688" s="6" t="s">
        <v>76</v>
      </c>
      <c r="W688" s="6">
        <v>1</v>
      </c>
      <c r="X688" s="6" t="s">
        <v>46</v>
      </c>
      <c r="Y688">
        <v>0</v>
      </c>
      <c r="Z688" s="5" t="s">
        <v>46</v>
      </c>
      <c r="AA688" s="5" t="s">
        <v>64</v>
      </c>
      <c r="AB688" s="5" t="s">
        <v>46</v>
      </c>
    </row>
    <row r="689" spans="1:28" x14ac:dyDescent="0.35">
      <c r="A689" s="8" t="s">
        <v>1075</v>
      </c>
      <c r="B689" s="5" t="s">
        <v>746</v>
      </c>
      <c r="C689">
        <v>1963</v>
      </c>
      <c r="D689">
        <f t="shared" ca="1" si="22"/>
        <v>62</v>
      </c>
      <c r="E689" s="5" t="s">
        <v>28</v>
      </c>
      <c r="F689" t="s">
        <v>29</v>
      </c>
      <c r="G689" s="4" t="str">
        <f t="shared" si="23"/>
        <v>&lt;500.000</v>
      </c>
      <c r="H689" t="s">
        <v>30</v>
      </c>
      <c r="I689">
        <v>1</v>
      </c>
      <c r="J689" t="s">
        <v>8</v>
      </c>
      <c r="K689" s="5" t="s">
        <v>114</v>
      </c>
      <c r="L689" s="5" t="s">
        <v>11</v>
      </c>
      <c r="M689" s="5" t="s">
        <v>57</v>
      </c>
      <c r="N689" s="5" t="s">
        <v>58</v>
      </c>
      <c r="O689" s="5" t="s">
        <v>42</v>
      </c>
      <c r="P689" s="5" t="s">
        <v>15</v>
      </c>
      <c r="Q689" s="5" t="s">
        <v>17</v>
      </c>
      <c r="R689" s="5" t="s">
        <v>43</v>
      </c>
      <c r="S689" s="5" t="s">
        <v>21</v>
      </c>
      <c r="T689" s="6" t="s">
        <v>23</v>
      </c>
      <c r="U689" s="6">
        <v>1</v>
      </c>
      <c r="V689" s="6" t="s">
        <v>76</v>
      </c>
      <c r="W689" s="6">
        <v>1</v>
      </c>
      <c r="X689" s="6" t="s">
        <v>46</v>
      </c>
      <c r="Y689">
        <v>0</v>
      </c>
      <c r="Z689" s="5" t="s">
        <v>46</v>
      </c>
      <c r="AA689" s="5" t="s">
        <v>64</v>
      </c>
      <c r="AB689" s="5" t="s">
        <v>46</v>
      </c>
    </row>
    <row r="690" spans="1:28" x14ac:dyDescent="0.35">
      <c r="A690" s="8" t="s">
        <v>1076</v>
      </c>
      <c r="B690" s="5" t="s">
        <v>747</v>
      </c>
      <c r="C690">
        <v>1962</v>
      </c>
      <c r="D690">
        <f t="shared" ca="1" si="22"/>
        <v>63</v>
      </c>
      <c r="E690" s="5" t="s">
        <v>6</v>
      </c>
      <c r="F690" t="s">
        <v>29</v>
      </c>
      <c r="G690" s="4" t="str">
        <f t="shared" si="23"/>
        <v>&lt;500.000</v>
      </c>
      <c r="H690" t="s">
        <v>30</v>
      </c>
      <c r="I690">
        <v>0</v>
      </c>
      <c r="J690" t="s">
        <v>48</v>
      </c>
      <c r="K690" s="5" t="s">
        <v>38</v>
      </c>
      <c r="L690" s="5" t="s">
        <v>11</v>
      </c>
      <c r="M690" s="5" t="s">
        <v>57</v>
      </c>
      <c r="N690" s="5" t="s">
        <v>58</v>
      </c>
      <c r="O690" s="5" t="s">
        <v>42</v>
      </c>
      <c r="P690" s="5" t="s">
        <v>15</v>
      </c>
      <c r="Q690" s="5" t="s">
        <v>17</v>
      </c>
      <c r="R690" s="5" t="s">
        <v>43</v>
      </c>
      <c r="S690" s="5" t="s">
        <v>21</v>
      </c>
      <c r="T690" s="6" t="s">
        <v>73</v>
      </c>
      <c r="U690" s="6">
        <v>0</v>
      </c>
      <c r="V690" s="6" t="s">
        <v>117</v>
      </c>
      <c r="W690" s="6">
        <v>1</v>
      </c>
      <c r="X690" s="6" t="s">
        <v>44</v>
      </c>
      <c r="Y690">
        <v>0</v>
      </c>
      <c r="Z690" s="5" t="s">
        <v>46</v>
      </c>
      <c r="AA690" s="5" t="s">
        <v>44</v>
      </c>
      <c r="AB690" s="5" t="s">
        <v>74</v>
      </c>
    </row>
    <row r="691" spans="1:28" x14ac:dyDescent="0.35">
      <c r="A691" s="8" t="s">
        <v>1077</v>
      </c>
      <c r="B691" s="5" t="s">
        <v>748</v>
      </c>
      <c r="C691">
        <v>1975</v>
      </c>
      <c r="D691">
        <f t="shared" ca="1" si="22"/>
        <v>50</v>
      </c>
      <c r="E691" s="5" t="s">
        <v>6</v>
      </c>
      <c r="F691" t="s">
        <v>29</v>
      </c>
      <c r="G691" s="4" t="str">
        <f t="shared" si="23"/>
        <v>&lt;500.000</v>
      </c>
      <c r="H691" t="s">
        <v>63</v>
      </c>
      <c r="I691">
        <v>1</v>
      </c>
      <c r="J691" t="s">
        <v>8</v>
      </c>
      <c r="K691" s="5" t="s">
        <v>38</v>
      </c>
      <c r="L691" s="5" t="s">
        <v>49</v>
      </c>
      <c r="M691" s="5" t="s">
        <v>57</v>
      </c>
      <c r="N691" s="5" t="s">
        <v>58</v>
      </c>
      <c r="O691" s="5" t="s">
        <v>89</v>
      </c>
      <c r="P691" s="5" t="s">
        <v>15</v>
      </c>
      <c r="Q691" s="5" t="s">
        <v>17</v>
      </c>
      <c r="R691" s="5" t="s">
        <v>43</v>
      </c>
      <c r="S691" s="5" t="s">
        <v>21</v>
      </c>
      <c r="T691" s="6" t="s">
        <v>73</v>
      </c>
      <c r="U691" s="6">
        <v>0</v>
      </c>
      <c r="V691" s="6" t="s">
        <v>73</v>
      </c>
      <c r="W691" s="6">
        <v>0</v>
      </c>
      <c r="X691" s="6" t="s">
        <v>46</v>
      </c>
      <c r="Y691">
        <v>0</v>
      </c>
      <c r="Z691" s="5" t="s">
        <v>46</v>
      </c>
      <c r="AA691" s="5" t="s">
        <v>46</v>
      </c>
      <c r="AB691" s="5" t="s">
        <v>46</v>
      </c>
    </row>
    <row r="692" spans="1:28" x14ac:dyDescent="0.35">
      <c r="A692" s="8" t="s">
        <v>1078</v>
      </c>
      <c r="B692" s="5" t="s">
        <v>749</v>
      </c>
      <c r="C692">
        <v>1980</v>
      </c>
      <c r="D692">
        <f t="shared" ca="1" si="22"/>
        <v>45</v>
      </c>
      <c r="E692" s="5" t="s">
        <v>28</v>
      </c>
      <c r="F692" t="s">
        <v>29</v>
      </c>
      <c r="G692" s="4" t="str">
        <f t="shared" si="23"/>
        <v>&lt;500.000</v>
      </c>
      <c r="H692" t="s">
        <v>63</v>
      </c>
      <c r="I692">
        <v>1</v>
      </c>
      <c r="J692" t="s">
        <v>8</v>
      </c>
      <c r="K692" s="5" t="s">
        <v>38</v>
      </c>
      <c r="L692" s="5" t="s">
        <v>49</v>
      </c>
      <c r="M692" s="5" t="s">
        <v>57</v>
      </c>
      <c r="N692" s="5" t="s">
        <v>58</v>
      </c>
      <c r="O692" s="5" t="s">
        <v>89</v>
      </c>
      <c r="P692" s="5" t="s">
        <v>15</v>
      </c>
      <c r="Q692" s="5" t="s">
        <v>17</v>
      </c>
      <c r="R692" s="5" t="s">
        <v>43</v>
      </c>
      <c r="S692" s="5" t="s">
        <v>21</v>
      </c>
      <c r="T692" s="6" t="s">
        <v>73</v>
      </c>
      <c r="U692" s="6">
        <v>0</v>
      </c>
      <c r="V692" s="6" t="s">
        <v>73</v>
      </c>
      <c r="W692" s="6">
        <v>0</v>
      </c>
      <c r="X692" s="6" t="s">
        <v>46</v>
      </c>
      <c r="Y692">
        <v>0</v>
      </c>
      <c r="Z692" s="5" t="s">
        <v>46</v>
      </c>
      <c r="AA692" s="5" t="s">
        <v>46</v>
      </c>
      <c r="AB692" s="5" t="s">
        <v>46</v>
      </c>
    </row>
    <row r="693" spans="1:28" x14ac:dyDescent="0.35">
      <c r="A693" s="8" t="s">
        <v>1079</v>
      </c>
      <c r="B693" s="5" t="s">
        <v>750</v>
      </c>
      <c r="C693">
        <v>1968</v>
      </c>
      <c r="D693">
        <f t="shared" ca="1" si="22"/>
        <v>57</v>
      </c>
      <c r="E693" s="5" t="s">
        <v>6</v>
      </c>
      <c r="F693" t="s">
        <v>29</v>
      </c>
      <c r="G693" s="4" t="str">
        <f t="shared" si="23"/>
        <v>&lt;500.000</v>
      </c>
      <c r="H693" t="s">
        <v>63</v>
      </c>
      <c r="I693">
        <v>2</v>
      </c>
      <c r="J693" t="s">
        <v>8</v>
      </c>
      <c r="K693" s="5" t="s">
        <v>38</v>
      </c>
      <c r="L693" s="5" t="s">
        <v>49</v>
      </c>
      <c r="M693" s="5" t="s">
        <v>57</v>
      </c>
      <c r="N693" s="5" t="s">
        <v>58</v>
      </c>
      <c r="O693" s="5" t="s">
        <v>89</v>
      </c>
      <c r="P693" s="5" t="s">
        <v>15</v>
      </c>
      <c r="Q693" s="5" t="s">
        <v>17</v>
      </c>
      <c r="R693" s="5" t="s">
        <v>43</v>
      </c>
      <c r="S693" s="5" t="s">
        <v>21</v>
      </c>
      <c r="T693" s="6" t="s">
        <v>73</v>
      </c>
      <c r="U693" s="6">
        <v>0</v>
      </c>
      <c r="V693" s="6" t="s">
        <v>73</v>
      </c>
      <c r="W693" s="6">
        <v>0</v>
      </c>
      <c r="X693" s="6" t="s">
        <v>46</v>
      </c>
      <c r="Y693">
        <v>0</v>
      </c>
      <c r="Z693" s="5" t="s">
        <v>46</v>
      </c>
      <c r="AA693" s="5" t="s">
        <v>46</v>
      </c>
      <c r="AB693" s="5" t="s">
        <v>46</v>
      </c>
    </row>
    <row r="694" spans="1:28" x14ac:dyDescent="0.35">
      <c r="A694" s="8" t="s">
        <v>1080</v>
      </c>
      <c r="B694" s="5" t="s">
        <v>132</v>
      </c>
      <c r="C694">
        <v>1972</v>
      </c>
      <c r="D694">
        <f t="shared" ca="1" si="22"/>
        <v>53</v>
      </c>
      <c r="E694" s="5" t="s">
        <v>28</v>
      </c>
      <c r="F694" t="s">
        <v>162</v>
      </c>
      <c r="G694" s="4" t="str">
        <f t="shared" si="23"/>
        <v>1.000.000–2.000.000</v>
      </c>
      <c r="H694" t="s">
        <v>63</v>
      </c>
      <c r="I694">
        <v>2</v>
      </c>
      <c r="J694" t="s">
        <v>8</v>
      </c>
      <c r="K694" s="5" t="s">
        <v>38</v>
      </c>
      <c r="L694" s="5" t="s">
        <v>49</v>
      </c>
      <c r="M694" s="5" t="s">
        <v>57</v>
      </c>
      <c r="N694" s="5" t="s">
        <v>58</v>
      </c>
      <c r="O694" s="5" t="s">
        <v>89</v>
      </c>
      <c r="P694" s="5" t="s">
        <v>15</v>
      </c>
      <c r="Q694" s="5" t="s">
        <v>17</v>
      </c>
      <c r="R694" s="5" t="s">
        <v>43</v>
      </c>
      <c r="S694" s="5" t="s">
        <v>21</v>
      </c>
      <c r="T694" s="6" t="s">
        <v>73</v>
      </c>
      <c r="U694" s="6">
        <v>0</v>
      </c>
      <c r="V694" s="6" t="s">
        <v>73</v>
      </c>
      <c r="W694" s="6">
        <v>0</v>
      </c>
      <c r="X694" s="6" t="s">
        <v>46</v>
      </c>
      <c r="Y694">
        <v>0</v>
      </c>
      <c r="Z694" s="5" t="s">
        <v>46</v>
      </c>
      <c r="AA694" s="5" t="s">
        <v>46</v>
      </c>
      <c r="AB694" s="5" t="s">
        <v>46</v>
      </c>
    </row>
    <row r="695" spans="1:28" x14ac:dyDescent="0.35">
      <c r="A695" s="8" t="s">
        <v>1081</v>
      </c>
      <c r="B695" s="5" t="s">
        <v>751</v>
      </c>
      <c r="C695">
        <v>1983</v>
      </c>
      <c r="D695">
        <f t="shared" ca="1" si="22"/>
        <v>42</v>
      </c>
      <c r="E695" s="5" t="s">
        <v>6</v>
      </c>
      <c r="F695" t="s">
        <v>54</v>
      </c>
      <c r="G695" s="4" t="str">
        <f t="shared" si="23"/>
        <v>1.000.000–2.000.000</v>
      </c>
      <c r="H695" t="s">
        <v>139</v>
      </c>
      <c r="I695">
        <v>0</v>
      </c>
      <c r="J695" t="s">
        <v>8</v>
      </c>
      <c r="K695" s="5" t="s">
        <v>10</v>
      </c>
      <c r="L695" s="5" t="s">
        <v>11</v>
      </c>
      <c r="M695" s="5" t="s">
        <v>40</v>
      </c>
      <c r="N695" s="5" t="s">
        <v>37</v>
      </c>
      <c r="O695" s="5" t="s">
        <v>42</v>
      </c>
      <c r="P695" s="5" t="s">
        <v>15</v>
      </c>
      <c r="Q695" s="5" t="s">
        <v>17</v>
      </c>
      <c r="R695" s="5" t="s">
        <v>87</v>
      </c>
      <c r="S695" s="5" t="s">
        <v>21</v>
      </c>
      <c r="T695" s="6" t="s">
        <v>23</v>
      </c>
      <c r="U695" s="6">
        <v>1</v>
      </c>
      <c r="V695" s="6" t="s">
        <v>181</v>
      </c>
      <c r="W695" s="6">
        <v>1</v>
      </c>
      <c r="X695" s="6" t="s">
        <v>46</v>
      </c>
      <c r="Y695">
        <v>0</v>
      </c>
      <c r="Z695" s="5" t="s">
        <v>46</v>
      </c>
      <c r="AA695" s="5" t="s">
        <v>46</v>
      </c>
      <c r="AB695" s="5" t="s">
        <v>46</v>
      </c>
    </row>
    <row r="696" spans="1:28" x14ac:dyDescent="0.35">
      <c r="A696" s="8" t="s">
        <v>1082</v>
      </c>
      <c r="B696" s="5" t="s">
        <v>752</v>
      </c>
      <c r="C696">
        <v>2003</v>
      </c>
      <c r="D696">
        <f t="shared" ca="1" si="22"/>
        <v>22</v>
      </c>
      <c r="E696" s="5" t="s">
        <v>28</v>
      </c>
      <c r="F696" t="s">
        <v>29</v>
      </c>
      <c r="G696" s="4" t="str">
        <f t="shared" si="23"/>
        <v>&lt;500.000</v>
      </c>
      <c r="H696" t="s">
        <v>30</v>
      </c>
      <c r="I696">
        <v>0</v>
      </c>
      <c r="J696" t="s">
        <v>8</v>
      </c>
      <c r="K696" s="5" t="s">
        <v>10</v>
      </c>
      <c r="L696" s="5" t="s">
        <v>11</v>
      </c>
      <c r="M696" s="5" t="s">
        <v>40</v>
      </c>
      <c r="N696" s="5" t="s">
        <v>37</v>
      </c>
      <c r="O696" s="5" t="s">
        <v>42</v>
      </c>
      <c r="P696" s="5" t="s">
        <v>15</v>
      </c>
      <c r="Q696" s="5" t="s">
        <v>17</v>
      </c>
      <c r="R696" s="5" t="s">
        <v>87</v>
      </c>
      <c r="S696" s="5" t="s">
        <v>21</v>
      </c>
      <c r="T696" s="6" t="s">
        <v>23</v>
      </c>
      <c r="U696" s="6">
        <v>1</v>
      </c>
      <c r="V696" s="6" t="s">
        <v>181</v>
      </c>
      <c r="W696" s="6">
        <v>1</v>
      </c>
      <c r="X696" s="6" t="s">
        <v>46</v>
      </c>
      <c r="Y696">
        <v>0</v>
      </c>
      <c r="Z696" s="5" t="s">
        <v>46</v>
      </c>
      <c r="AA696" s="5" t="s">
        <v>46</v>
      </c>
      <c r="AB696" s="5" t="s">
        <v>46</v>
      </c>
    </row>
    <row r="697" spans="1:28" x14ac:dyDescent="0.35">
      <c r="A697" s="8" t="s">
        <v>1083</v>
      </c>
      <c r="B697" s="5" t="s">
        <v>753</v>
      </c>
      <c r="C697">
        <v>1975</v>
      </c>
      <c r="D697">
        <f t="shared" ca="1" si="22"/>
        <v>50</v>
      </c>
      <c r="E697" s="5" t="s">
        <v>6</v>
      </c>
      <c r="F697" t="s">
        <v>54</v>
      </c>
      <c r="G697" s="4" t="str">
        <f t="shared" si="23"/>
        <v>1.000.000–2.000.000</v>
      </c>
      <c r="H697" t="s">
        <v>139</v>
      </c>
      <c r="I697">
        <v>1</v>
      </c>
      <c r="J697" t="s">
        <v>8</v>
      </c>
      <c r="K697" s="5" t="s">
        <v>114</v>
      </c>
      <c r="L697" s="5" t="s">
        <v>11</v>
      </c>
      <c r="M697" s="5" t="s">
        <v>57</v>
      </c>
      <c r="N697" s="5" t="s">
        <v>58</v>
      </c>
      <c r="O697" s="5" t="s">
        <v>42</v>
      </c>
      <c r="P697" s="5" t="s">
        <v>15</v>
      </c>
      <c r="Q697" s="5" t="s">
        <v>17</v>
      </c>
      <c r="R697" s="5" t="s">
        <v>43</v>
      </c>
      <c r="S697" s="5" t="s">
        <v>21</v>
      </c>
      <c r="T697" s="6" t="s">
        <v>23</v>
      </c>
      <c r="U697" s="6">
        <v>1</v>
      </c>
      <c r="V697" s="6" t="s">
        <v>26</v>
      </c>
      <c r="W697" s="6">
        <v>1</v>
      </c>
      <c r="X697" s="6" t="s">
        <v>44</v>
      </c>
      <c r="Y697">
        <v>0</v>
      </c>
      <c r="Z697" s="5" t="s">
        <v>46</v>
      </c>
      <c r="AA697" s="5" t="s">
        <v>46</v>
      </c>
      <c r="AB697" s="5" t="s">
        <v>74</v>
      </c>
    </row>
    <row r="698" spans="1:28" x14ac:dyDescent="0.35">
      <c r="A698" s="8" t="s">
        <v>1084</v>
      </c>
      <c r="B698" s="5" t="s">
        <v>192</v>
      </c>
      <c r="C698">
        <v>1978</v>
      </c>
      <c r="D698">
        <f t="shared" ca="1" si="22"/>
        <v>47</v>
      </c>
      <c r="E698" s="5" t="s">
        <v>28</v>
      </c>
      <c r="F698" t="s">
        <v>29</v>
      </c>
      <c r="G698" s="4" t="str">
        <f t="shared" si="23"/>
        <v>500.000–1.000.000</v>
      </c>
      <c r="H698" t="s">
        <v>7</v>
      </c>
      <c r="I698">
        <v>1</v>
      </c>
      <c r="J698" t="s">
        <v>8</v>
      </c>
      <c r="K698" s="5" t="s">
        <v>114</v>
      </c>
      <c r="L698" s="5" t="s">
        <v>11</v>
      </c>
      <c r="M698" s="5" t="s">
        <v>57</v>
      </c>
      <c r="N698" s="5" t="s">
        <v>58</v>
      </c>
      <c r="O698" s="5" t="s">
        <v>42</v>
      </c>
      <c r="P698" s="5" t="s">
        <v>15</v>
      </c>
      <c r="Q698" s="5" t="s">
        <v>17</v>
      </c>
      <c r="R698" s="5" t="s">
        <v>43</v>
      </c>
      <c r="S698" s="5" t="s">
        <v>21</v>
      </c>
      <c r="T698" s="6" t="s">
        <v>23</v>
      </c>
      <c r="U698" s="6">
        <v>1</v>
      </c>
      <c r="V698" s="6" t="s">
        <v>26</v>
      </c>
      <c r="W698" s="6">
        <v>1</v>
      </c>
      <c r="X698" s="6" t="s">
        <v>44</v>
      </c>
      <c r="Y698">
        <v>0</v>
      </c>
      <c r="Z698" s="5" t="s">
        <v>46</v>
      </c>
      <c r="AA698" s="5" t="s">
        <v>46</v>
      </c>
      <c r="AB698" s="5" t="s">
        <v>74</v>
      </c>
    </row>
    <row r="699" spans="1:28" x14ac:dyDescent="0.35">
      <c r="A699" s="8" t="s">
        <v>1085</v>
      </c>
      <c r="B699" s="5" t="s">
        <v>754</v>
      </c>
      <c r="C699">
        <v>1988</v>
      </c>
      <c r="D699">
        <f t="shared" ca="1" si="22"/>
        <v>37</v>
      </c>
      <c r="E699" s="5" t="s">
        <v>6</v>
      </c>
      <c r="F699" t="s">
        <v>29</v>
      </c>
      <c r="G699" s="4" t="str">
        <f t="shared" si="23"/>
        <v>&lt;500.000</v>
      </c>
      <c r="H699" t="s">
        <v>63</v>
      </c>
      <c r="I699">
        <v>0</v>
      </c>
      <c r="J699" t="s">
        <v>8</v>
      </c>
      <c r="K699" s="5" t="s">
        <v>38</v>
      </c>
      <c r="L699" s="5" t="s">
        <v>49</v>
      </c>
      <c r="M699" s="5" t="s">
        <v>57</v>
      </c>
      <c r="N699" s="5" t="s">
        <v>58</v>
      </c>
      <c r="O699" s="5" t="s">
        <v>89</v>
      </c>
      <c r="P699" s="5" t="s">
        <v>15</v>
      </c>
      <c r="Q699" s="5" t="s">
        <v>17</v>
      </c>
      <c r="R699" s="5" t="s">
        <v>43</v>
      </c>
      <c r="S699" s="5" t="s">
        <v>21</v>
      </c>
      <c r="T699" s="6" t="s">
        <v>73</v>
      </c>
      <c r="U699" s="6">
        <v>0</v>
      </c>
      <c r="V699" s="6" t="s">
        <v>73</v>
      </c>
      <c r="W699" s="6">
        <v>0</v>
      </c>
      <c r="X699" s="6" t="s">
        <v>46</v>
      </c>
      <c r="Y699">
        <v>0</v>
      </c>
      <c r="Z699" s="5" t="s">
        <v>46</v>
      </c>
      <c r="AA699" s="5" t="s">
        <v>46</v>
      </c>
      <c r="AB699" s="5" t="s">
        <v>46</v>
      </c>
    </row>
    <row r="700" spans="1:28" x14ac:dyDescent="0.35">
      <c r="A700" s="8" t="s">
        <v>1086</v>
      </c>
      <c r="B700" s="5" t="s">
        <v>755</v>
      </c>
      <c r="C700">
        <v>1997</v>
      </c>
      <c r="D700">
        <f ca="1">YEAR(TODAY()) - C700</f>
        <v>28</v>
      </c>
      <c r="E700" s="5" t="s">
        <v>28</v>
      </c>
      <c r="F700" t="s">
        <v>119</v>
      </c>
      <c r="G700" s="4" t="str">
        <f t="shared" si="23"/>
        <v>&lt;500.000</v>
      </c>
      <c r="H700" t="s">
        <v>63</v>
      </c>
      <c r="I700">
        <v>0</v>
      </c>
      <c r="J700" t="s">
        <v>8</v>
      </c>
      <c r="K700" s="5" t="s">
        <v>38</v>
      </c>
      <c r="L700" s="5" t="s">
        <v>49</v>
      </c>
      <c r="M700" s="5" t="s">
        <v>57</v>
      </c>
      <c r="N700" s="5" t="s">
        <v>58</v>
      </c>
      <c r="O700" s="5" t="s">
        <v>89</v>
      </c>
      <c r="P700" s="5" t="s">
        <v>15</v>
      </c>
      <c r="Q700" s="5" t="s">
        <v>17</v>
      </c>
      <c r="R700" s="5" t="s">
        <v>43</v>
      </c>
      <c r="S700" s="5" t="s">
        <v>21</v>
      </c>
      <c r="T700" s="6" t="s">
        <v>73</v>
      </c>
      <c r="U700" s="6">
        <v>0</v>
      </c>
      <c r="V700" s="6" t="s">
        <v>73</v>
      </c>
      <c r="W700" s="6">
        <v>0</v>
      </c>
      <c r="X700" s="6" t="s">
        <v>46</v>
      </c>
      <c r="Y700">
        <v>0</v>
      </c>
      <c r="Z700" s="5" t="s">
        <v>46</v>
      </c>
      <c r="AA700" s="5" t="s">
        <v>46</v>
      </c>
      <c r="AB700" s="5" t="s">
        <v>46</v>
      </c>
    </row>
    <row r="701" spans="1:28" x14ac:dyDescent="0.35">
      <c r="A701" s="8" t="s">
        <v>1087</v>
      </c>
      <c r="B701" s="5" t="s">
        <v>756</v>
      </c>
      <c r="C701">
        <v>1986</v>
      </c>
      <c r="D701">
        <f t="shared" ref="D701:D724" ca="1" si="24">YEAR(TODAY()) - C701</f>
        <v>39</v>
      </c>
      <c r="E701" s="5" t="s">
        <v>6</v>
      </c>
      <c r="F701" t="s">
        <v>54</v>
      </c>
      <c r="G701" s="4" t="str">
        <f t="shared" si="23"/>
        <v>1.000.000–2.000.000</v>
      </c>
      <c r="H701" t="s">
        <v>139</v>
      </c>
      <c r="I701">
        <v>3</v>
      </c>
      <c r="J701" t="s">
        <v>8</v>
      </c>
      <c r="K701" s="5" t="s">
        <v>38</v>
      </c>
      <c r="L701" s="5" t="s">
        <v>11</v>
      </c>
      <c r="M701" s="5" t="s">
        <v>14</v>
      </c>
      <c r="N701" s="5" t="s">
        <v>58</v>
      </c>
      <c r="O701" s="5" t="s">
        <v>42</v>
      </c>
      <c r="P701" s="5" t="s">
        <v>15</v>
      </c>
      <c r="Q701" s="5" t="s">
        <v>17</v>
      </c>
      <c r="R701" s="5" t="s">
        <v>43</v>
      </c>
      <c r="S701" s="5" t="s">
        <v>21</v>
      </c>
      <c r="T701" s="6" t="s">
        <v>23</v>
      </c>
      <c r="U701" s="6">
        <v>1</v>
      </c>
      <c r="V701" s="6" t="s">
        <v>757</v>
      </c>
      <c r="W701" s="6">
        <v>1</v>
      </c>
      <c r="X701" s="6" t="s">
        <v>46</v>
      </c>
      <c r="Y701">
        <v>2</v>
      </c>
      <c r="Z701" s="5" t="s">
        <v>44</v>
      </c>
      <c r="AA701" s="5" t="s">
        <v>46</v>
      </c>
      <c r="AB701" s="5" t="s">
        <v>46</v>
      </c>
    </row>
    <row r="702" spans="1:28" x14ac:dyDescent="0.35">
      <c r="A702" s="8" t="s">
        <v>1088</v>
      </c>
      <c r="B702" s="5" t="s">
        <v>758</v>
      </c>
      <c r="C702">
        <v>1991</v>
      </c>
      <c r="D702">
        <f t="shared" ca="1" si="24"/>
        <v>34</v>
      </c>
      <c r="E702" s="5" t="s">
        <v>28</v>
      </c>
      <c r="F702" t="s">
        <v>29</v>
      </c>
      <c r="G702" s="4" t="str">
        <f t="shared" si="23"/>
        <v>500.000–1.000.000</v>
      </c>
      <c r="H702" t="s">
        <v>139</v>
      </c>
      <c r="I702">
        <v>3</v>
      </c>
      <c r="J702" t="s">
        <v>8</v>
      </c>
      <c r="K702" s="5" t="s">
        <v>38</v>
      </c>
      <c r="L702" s="5" t="s">
        <v>11</v>
      </c>
      <c r="M702" s="5" t="s">
        <v>14</v>
      </c>
      <c r="N702" s="5" t="s">
        <v>58</v>
      </c>
      <c r="O702" s="5" t="s">
        <v>42</v>
      </c>
      <c r="P702" s="5" t="s">
        <v>15</v>
      </c>
      <c r="Q702" s="5" t="s">
        <v>17</v>
      </c>
      <c r="R702" s="5" t="s">
        <v>43</v>
      </c>
      <c r="S702" s="5" t="s">
        <v>21</v>
      </c>
      <c r="T702" s="6" t="s">
        <v>23</v>
      </c>
      <c r="U702" s="6">
        <v>1</v>
      </c>
      <c r="V702" s="6" t="s">
        <v>757</v>
      </c>
      <c r="W702" s="6">
        <v>1</v>
      </c>
      <c r="X702" s="6" t="s">
        <v>46</v>
      </c>
      <c r="Y702">
        <v>2</v>
      </c>
      <c r="Z702" s="5" t="s">
        <v>44</v>
      </c>
      <c r="AA702" s="5" t="s">
        <v>46</v>
      </c>
      <c r="AB702" s="5" t="s">
        <v>46</v>
      </c>
    </row>
    <row r="703" spans="1:28" x14ac:dyDescent="0.35">
      <c r="A703" s="8" t="s">
        <v>1089</v>
      </c>
      <c r="B703" s="5" t="s">
        <v>759</v>
      </c>
      <c r="C703">
        <v>1957</v>
      </c>
      <c r="D703">
        <f t="shared" ca="1" si="24"/>
        <v>68</v>
      </c>
      <c r="E703" s="5" t="s">
        <v>6</v>
      </c>
      <c r="F703" t="s">
        <v>187</v>
      </c>
      <c r="G703" s="4" t="str">
        <f t="shared" si="23"/>
        <v>2.000.000–3.000.000</v>
      </c>
      <c r="H703" t="s">
        <v>30</v>
      </c>
      <c r="I703">
        <v>3</v>
      </c>
      <c r="J703" t="s">
        <v>8</v>
      </c>
      <c r="K703" s="5" t="s">
        <v>38</v>
      </c>
      <c r="L703" s="5" t="s">
        <v>11</v>
      </c>
      <c r="M703" s="5" t="s">
        <v>14</v>
      </c>
      <c r="N703" s="5" t="s">
        <v>58</v>
      </c>
      <c r="O703" s="5" t="s">
        <v>42</v>
      </c>
      <c r="P703" s="5" t="s">
        <v>15</v>
      </c>
      <c r="Q703" s="5" t="s">
        <v>17</v>
      </c>
      <c r="R703" s="5" t="s">
        <v>43</v>
      </c>
      <c r="S703" s="5" t="s">
        <v>21</v>
      </c>
      <c r="T703" s="6" t="s">
        <v>23</v>
      </c>
      <c r="U703" s="6">
        <v>1</v>
      </c>
      <c r="V703" s="6" t="s">
        <v>757</v>
      </c>
      <c r="W703" s="6">
        <v>1</v>
      </c>
      <c r="X703" s="6" t="s">
        <v>46</v>
      </c>
      <c r="Y703">
        <v>2</v>
      </c>
      <c r="Z703" s="5" t="s">
        <v>44</v>
      </c>
      <c r="AA703" s="5" t="s">
        <v>46</v>
      </c>
      <c r="AB703" s="5" t="s">
        <v>46</v>
      </c>
    </row>
    <row r="704" spans="1:28" x14ac:dyDescent="0.35">
      <c r="A704" s="8" t="s">
        <v>1090</v>
      </c>
      <c r="B704" s="5" t="s">
        <v>760</v>
      </c>
      <c r="C704">
        <v>1999</v>
      </c>
      <c r="D704">
        <f t="shared" ca="1" si="24"/>
        <v>26</v>
      </c>
      <c r="E704" s="5" t="s">
        <v>6</v>
      </c>
      <c r="F704" t="s">
        <v>54</v>
      </c>
      <c r="G704" s="4" t="str">
        <f t="shared" si="23"/>
        <v>500.000–1.000.000</v>
      </c>
      <c r="H704" t="s">
        <v>7</v>
      </c>
      <c r="I704">
        <v>1</v>
      </c>
      <c r="J704" t="s">
        <v>48</v>
      </c>
      <c r="K704" s="5" t="s">
        <v>38</v>
      </c>
      <c r="L704" s="5" t="s">
        <v>11</v>
      </c>
      <c r="M704" s="5" t="s">
        <v>40</v>
      </c>
      <c r="N704" s="5" t="s">
        <v>58</v>
      </c>
      <c r="O704" s="5" t="s">
        <v>42</v>
      </c>
      <c r="P704" s="5" t="s">
        <v>15</v>
      </c>
      <c r="Q704" s="5" t="s">
        <v>17</v>
      </c>
      <c r="R704" s="5" t="s">
        <v>87</v>
      </c>
      <c r="S704" s="5" t="s">
        <v>21</v>
      </c>
      <c r="T704" s="6" t="s">
        <v>23</v>
      </c>
      <c r="U704" s="6">
        <v>1</v>
      </c>
      <c r="V704" s="6" t="s">
        <v>76</v>
      </c>
      <c r="W704" s="6">
        <v>1</v>
      </c>
      <c r="X704" s="6" t="s">
        <v>46</v>
      </c>
      <c r="Y704">
        <v>1</v>
      </c>
      <c r="Z704" s="5" t="s">
        <v>46</v>
      </c>
      <c r="AA704" s="5" t="s">
        <v>46</v>
      </c>
      <c r="AB704" s="5" t="s">
        <v>46</v>
      </c>
    </row>
    <row r="705" spans="1:28" x14ac:dyDescent="0.35">
      <c r="A705" s="8" t="s">
        <v>1091</v>
      </c>
      <c r="B705" s="5" t="s">
        <v>761</v>
      </c>
      <c r="C705">
        <v>2001</v>
      </c>
      <c r="D705">
        <f t="shared" ca="1" si="24"/>
        <v>24</v>
      </c>
      <c r="E705" s="5" t="s">
        <v>28</v>
      </c>
      <c r="F705" t="s">
        <v>29</v>
      </c>
      <c r="G705" s="4" t="str">
        <f t="shared" si="23"/>
        <v>500.000–1.000.000</v>
      </c>
      <c r="H705" t="s">
        <v>139</v>
      </c>
      <c r="I705">
        <v>1</v>
      </c>
      <c r="J705" t="s">
        <v>48</v>
      </c>
      <c r="K705" s="5" t="s">
        <v>38</v>
      </c>
      <c r="L705" s="5" t="s">
        <v>11</v>
      </c>
      <c r="M705" s="5" t="s">
        <v>40</v>
      </c>
      <c r="N705" s="5" t="s">
        <v>58</v>
      </c>
      <c r="O705" s="5" t="s">
        <v>42</v>
      </c>
      <c r="P705" s="5" t="s">
        <v>15</v>
      </c>
      <c r="Q705" s="5" t="s">
        <v>17</v>
      </c>
      <c r="R705" s="5" t="s">
        <v>87</v>
      </c>
      <c r="S705" s="5" t="s">
        <v>21</v>
      </c>
      <c r="T705" s="6" t="s">
        <v>23</v>
      </c>
      <c r="U705" s="6">
        <v>1</v>
      </c>
      <c r="V705" s="6" t="s">
        <v>76</v>
      </c>
      <c r="W705" s="6">
        <v>1</v>
      </c>
      <c r="X705" s="6" t="s">
        <v>46</v>
      </c>
      <c r="Y705">
        <v>1</v>
      </c>
      <c r="Z705" s="5" t="s">
        <v>46</v>
      </c>
      <c r="AA705" s="5" t="s">
        <v>46</v>
      </c>
      <c r="AB705" s="5" t="s">
        <v>46</v>
      </c>
    </row>
    <row r="706" spans="1:28" x14ac:dyDescent="0.35">
      <c r="A706" s="8" t="s">
        <v>1092</v>
      </c>
      <c r="B706" s="5" t="s">
        <v>762</v>
      </c>
      <c r="C706">
        <v>1948</v>
      </c>
      <c r="D706">
        <f t="shared" ca="1" si="24"/>
        <v>77</v>
      </c>
      <c r="E706" s="5" t="s">
        <v>6</v>
      </c>
      <c r="F706" t="s">
        <v>29</v>
      </c>
      <c r="G706" s="4" t="str">
        <f t="shared" si="23"/>
        <v>&lt;500.000</v>
      </c>
      <c r="H706" t="s">
        <v>30</v>
      </c>
      <c r="I706">
        <v>1</v>
      </c>
      <c r="J706" t="s">
        <v>8</v>
      </c>
      <c r="K706" s="5" t="s">
        <v>114</v>
      </c>
      <c r="L706" s="5" t="s">
        <v>11</v>
      </c>
      <c r="M706" s="5" t="s">
        <v>57</v>
      </c>
      <c r="N706" s="5" t="s">
        <v>58</v>
      </c>
      <c r="O706" s="5" t="s">
        <v>42</v>
      </c>
      <c r="P706" s="5" t="s">
        <v>15</v>
      </c>
      <c r="Q706" s="5" t="s">
        <v>17</v>
      </c>
      <c r="R706" s="5" t="s">
        <v>43</v>
      </c>
      <c r="S706" s="5" t="s">
        <v>21</v>
      </c>
      <c r="T706" s="6" t="s">
        <v>23</v>
      </c>
      <c r="U706" s="6">
        <v>1</v>
      </c>
      <c r="V706" s="6" t="s">
        <v>76</v>
      </c>
      <c r="W706" s="6">
        <v>1</v>
      </c>
      <c r="X706" s="6" t="s">
        <v>46</v>
      </c>
      <c r="Y706">
        <v>0</v>
      </c>
      <c r="Z706" s="5" t="s">
        <v>46</v>
      </c>
      <c r="AA706" s="5" t="s">
        <v>44</v>
      </c>
      <c r="AB706" s="5" t="s">
        <v>35</v>
      </c>
    </row>
    <row r="707" spans="1:28" x14ac:dyDescent="0.35">
      <c r="A707" s="8" t="s">
        <v>1093</v>
      </c>
      <c r="B707" s="5" t="s">
        <v>763</v>
      </c>
      <c r="C707">
        <v>1945</v>
      </c>
      <c r="D707">
        <f t="shared" ca="1" si="24"/>
        <v>80</v>
      </c>
      <c r="E707" s="5" t="s">
        <v>6</v>
      </c>
      <c r="F707" t="s">
        <v>29</v>
      </c>
      <c r="G707" s="4" t="str">
        <f t="shared" si="23"/>
        <v>&lt;500.000</v>
      </c>
      <c r="H707" t="s">
        <v>30</v>
      </c>
      <c r="I707">
        <v>0</v>
      </c>
      <c r="J707" t="s">
        <v>8</v>
      </c>
      <c r="K707" s="5" t="s">
        <v>38</v>
      </c>
      <c r="L707" s="5" t="s">
        <v>49</v>
      </c>
      <c r="M707" s="5" t="s">
        <v>57</v>
      </c>
      <c r="N707" s="5" t="s">
        <v>58</v>
      </c>
      <c r="O707" s="5" t="s">
        <v>42</v>
      </c>
      <c r="P707" s="5" t="s">
        <v>15</v>
      </c>
      <c r="Q707" s="5" t="s">
        <v>17</v>
      </c>
      <c r="R707" s="5" t="s">
        <v>43</v>
      </c>
      <c r="S707" s="5" t="s">
        <v>21</v>
      </c>
      <c r="T707" s="6" t="s">
        <v>23</v>
      </c>
      <c r="U707" s="6">
        <v>1</v>
      </c>
      <c r="V707" s="6" t="s">
        <v>117</v>
      </c>
      <c r="W707" s="6">
        <v>1</v>
      </c>
      <c r="X707" s="6" t="s">
        <v>46</v>
      </c>
      <c r="Y707">
        <v>0</v>
      </c>
      <c r="Z707" s="5" t="s">
        <v>46</v>
      </c>
      <c r="AA707" s="5" t="s">
        <v>64</v>
      </c>
      <c r="AB707" s="5" t="s">
        <v>46</v>
      </c>
    </row>
    <row r="708" spans="1:28" x14ac:dyDescent="0.35">
      <c r="A708" s="8" t="s">
        <v>1094</v>
      </c>
      <c r="B708" s="5" t="s">
        <v>764</v>
      </c>
      <c r="C708">
        <v>1955</v>
      </c>
      <c r="D708">
        <f t="shared" ca="1" si="24"/>
        <v>70</v>
      </c>
      <c r="E708" s="5" t="s">
        <v>28</v>
      </c>
      <c r="F708" t="s">
        <v>29</v>
      </c>
      <c r="G708" s="4" t="str">
        <f t="shared" si="23"/>
        <v>&lt;500.000</v>
      </c>
      <c r="H708" t="s">
        <v>30</v>
      </c>
      <c r="I708">
        <v>0</v>
      </c>
      <c r="J708" t="s">
        <v>8</v>
      </c>
      <c r="K708" s="5" t="s">
        <v>38</v>
      </c>
      <c r="L708" s="5" t="s">
        <v>49</v>
      </c>
      <c r="M708" s="5" t="s">
        <v>57</v>
      </c>
      <c r="N708" s="5" t="s">
        <v>58</v>
      </c>
      <c r="O708" s="5" t="s">
        <v>42</v>
      </c>
      <c r="P708" s="5" t="s">
        <v>15</v>
      </c>
      <c r="Q708" s="5" t="s">
        <v>17</v>
      </c>
      <c r="R708" s="5" t="s">
        <v>43</v>
      </c>
      <c r="S708" s="5" t="s">
        <v>21</v>
      </c>
      <c r="T708" s="6" t="s">
        <v>23</v>
      </c>
      <c r="U708" s="6">
        <v>1</v>
      </c>
      <c r="V708" s="6" t="s">
        <v>117</v>
      </c>
      <c r="W708" s="6">
        <v>1</v>
      </c>
      <c r="X708" s="6" t="s">
        <v>46</v>
      </c>
      <c r="Y708">
        <v>0</v>
      </c>
      <c r="Z708" s="5" t="s">
        <v>46</v>
      </c>
      <c r="AA708" s="5" t="s">
        <v>64</v>
      </c>
      <c r="AB708" s="5" t="s">
        <v>46</v>
      </c>
    </row>
    <row r="709" spans="1:28" x14ac:dyDescent="0.35">
      <c r="A709" s="8" t="s">
        <v>1095</v>
      </c>
      <c r="B709" s="5" t="s">
        <v>306</v>
      </c>
      <c r="C709">
        <v>1984</v>
      </c>
      <c r="D709">
        <f t="shared" ca="1" si="24"/>
        <v>41</v>
      </c>
      <c r="E709" s="5" t="s">
        <v>6</v>
      </c>
      <c r="F709" t="s">
        <v>55</v>
      </c>
      <c r="G709" s="4" t="str">
        <f t="shared" si="23"/>
        <v>1.000.000–2.000.000</v>
      </c>
      <c r="H709" t="s">
        <v>139</v>
      </c>
      <c r="I709">
        <v>2</v>
      </c>
      <c r="J709" t="s">
        <v>48</v>
      </c>
      <c r="K709" s="5" t="s">
        <v>10</v>
      </c>
      <c r="L709" s="5" t="s">
        <v>11</v>
      </c>
      <c r="M709" s="5" t="s">
        <v>40</v>
      </c>
      <c r="N709" s="5" t="s">
        <v>37</v>
      </c>
      <c r="O709" s="5" t="s">
        <v>42</v>
      </c>
      <c r="P709" s="5" t="s">
        <v>15</v>
      </c>
      <c r="Q709" s="5" t="s">
        <v>17</v>
      </c>
      <c r="R709" s="5" t="s">
        <v>87</v>
      </c>
      <c r="S709" s="5" t="s">
        <v>21</v>
      </c>
      <c r="T709" s="6" t="s">
        <v>23</v>
      </c>
      <c r="U709" s="6">
        <v>1</v>
      </c>
      <c r="V709" s="6" t="s">
        <v>26</v>
      </c>
      <c r="W709" s="6">
        <v>1</v>
      </c>
      <c r="X709" s="6" t="s">
        <v>46</v>
      </c>
      <c r="Y709">
        <v>2</v>
      </c>
      <c r="Z709" s="5" t="s">
        <v>46</v>
      </c>
      <c r="AA709" s="5" t="s">
        <v>46</v>
      </c>
      <c r="AB709" s="5" t="s">
        <v>74</v>
      </c>
    </row>
    <row r="710" spans="1:28" x14ac:dyDescent="0.35">
      <c r="A710" s="8" t="s">
        <v>1096</v>
      </c>
      <c r="B710" s="5" t="s">
        <v>765</v>
      </c>
      <c r="C710">
        <v>1990</v>
      </c>
      <c r="D710">
        <f t="shared" ca="1" si="24"/>
        <v>35</v>
      </c>
      <c r="E710" s="5" t="s">
        <v>28</v>
      </c>
      <c r="F710" t="s">
        <v>29</v>
      </c>
      <c r="G710" s="4" t="str">
        <f t="shared" si="23"/>
        <v>500.000–1.000.000</v>
      </c>
      <c r="H710" t="s">
        <v>139</v>
      </c>
      <c r="I710">
        <v>2</v>
      </c>
      <c r="J710" t="s">
        <v>48</v>
      </c>
      <c r="K710" s="5" t="s">
        <v>10</v>
      </c>
      <c r="L710" s="5" t="s">
        <v>11</v>
      </c>
      <c r="M710" s="5" t="s">
        <v>40</v>
      </c>
      <c r="N710" s="5" t="s">
        <v>37</v>
      </c>
      <c r="O710" s="5" t="s">
        <v>42</v>
      </c>
      <c r="P710" s="5" t="s">
        <v>15</v>
      </c>
      <c r="Q710" s="5" t="s">
        <v>17</v>
      </c>
      <c r="R710" s="5" t="s">
        <v>87</v>
      </c>
      <c r="S710" s="5" t="s">
        <v>21</v>
      </c>
      <c r="T710" s="6" t="s">
        <v>23</v>
      </c>
      <c r="U710" s="6">
        <v>1</v>
      </c>
      <c r="V710" s="6" t="s">
        <v>26</v>
      </c>
      <c r="W710" s="6">
        <v>1</v>
      </c>
      <c r="X710" s="6" t="s">
        <v>46</v>
      </c>
      <c r="Y710">
        <v>2</v>
      </c>
      <c r="Z710" s="5" t="s">
        <v>46</v>
      </c>
      <c r="AA710" s="5" t="s">
        <v>46</v>
      </c>
      <c r="AB710" s="5" t="s">
        <v>74</v>
      </c>
    </row>
    <row r="711" spans="1:28" x14ac:dyDescent="0.35">
      <c r="A711" s="8" t="s">
        <v>1097</v>
      </c>
      <c r="B711" s="5" t="s">
        <v>766</v>
      </c>
      <c r="C711">
        <v>1983</v>
      </c>
      <c r="D711">
        <f t="shared" ca="1" si="24"/>
        <v>42</v>
      </c>
      <c r="E711" s="5" t="s">
        <v>6</v>
      </c>
      <c r="F711" t="s">
        <v>29</v>
      </c>
      <c r="G711" s="4" t="str">
        <f t="shared" si="23"/>
        <v>&lt;500.000</v>
      </c>
      <c r="H711" t="s">
        <v>63</v>
      </c>
      <c r="I711">
        <v>2</v>
      </c>
      <c r="J711" t="s">
        <v>48</v>
      </c>
      <c r="K711" s="5" t="s">
        <v>114</v>
      </c>
      <c r="L711" s="5" t="s">
        <v>11</v>
      </c>
      <c r="M711" s="5" t="s">
        <v>57</v>
      </c>
      <c r="N711" s="5" t="s">
        <v>58</v>
      </c>
      <c r="O711" s="5" t="s">
        <v>42</v>
      </c>
      <c r="P711" s="5" t="s">
        <v>15</v>
      </c>
      <c r="Q711" s="5" t="s">
        <v>17</v>
      </c>
      <c r="R711" s="5" t="s">
        <v>43</v>
      </c>
      <c r="S711" s="5" t="s">
        <v>21</v>
      </c>
      <c r="T711" s="6" t="s">
        <v>23</v>
      </c>
      <c r="U711" s="6">
        <v>1</v>
      </c>
      <c r="V711" s="6" t="s">
        <v>26</v>
      </c>
      <c r="W711" s="6">
        <v>1</v>
      </c>
      <c r="X711" s="6" t="s">
        <v>46</v>
      </c>
      <c r="Y711">
        <v>1</v>
      </c>
      <c r="Z711" s="5" t="s">
        <v>44</v>
      </c>
      <c r="AA711" s="5" t="s">
        <v>46</v>
      </c>
      <c r="AB711" s="5" t="s">
        <v>46</v>
      </c>
    </row>
    <row r="712" spans="1:28" x14ac:dyDescent="0.35">
      <c r="A712" s="8" t="s">
        <v>1098</v>
      </c>
      <c r="B712" s="5" t="s">
        <v>767</v>
      </c>
      <c r="C712">
        <v>1989</v>
      </c>
      <c r="D712">
        <f t="shared" ca="1" si="24"/>
        <v>36</v>
      </c>
      <c r="E712" s="5" t="s">
        <v>28</v>
      </c>
      <c r="F712" t="s">
        <v>137</v>
      </c>
      <c r="G712" s="4" t="str">
        <f t="shared" si="23"/>
        <v>1.000.000–2.000.000</v>
      </c>
      <c r="H712" t="s">
        <v>516</v>
      </c>
      <c r="I712">
        <v>2</v>
      </c>
      <c r="J712" t="s">
        <v>48</v>
      </c>
      <c r="K712" s="5" t="s">
        <v>114</v>
      </c>
      <c r="L712" s="5" t="s">
        <v>11</v>
      </c>
      <c r="M712" s="5" t="s">
        <v>57</v>
      </c>
      <c r="N712" s="5" t="s">
        <v>58</v>
      </c>
      <c r="O712" s="5" t="s">
        <v>42</v>
      </c>
      <c r="P712" s="5" t="s">
        <v>15</v>
      </c>
      <c r="Q712" s="5" t="s">
        <v>17</v>
      </c>
      <c r="R712" s="5" t="s">
        <v>43</v>
      </c>
      <c r="S712" s="5" t="s">
        <v>21</v>
      </c>
      <c r="T712" s="6" t="s">
        <v>23</v>
      </c>
      <c r="U712" s="6">
        <v>1</v>
      </c>
      <c r="V712" s="6" t="s">
        <v>26</v>
      </c>
      <c r="W712" s="6">
        <v>1</v>
      </c>
      <c r="X712" s="6" t="s">
        <v>46</v>
      </c>
      <c r="Y712">
        <v>1</v>
      </c>
      <c r="Z712" s="5" t="s">
        <v>44</v>
      </c>
      <c r="AA712" s="5" t="s">
        <v>46</v>
      </c>
      <c r="AB712" s="5" t="s">
        <v>46</v>
      </c>
    </row>
    <row r="713" spans="1:28" x14ac:dyDescent="0.35">
      <c r="A713" s="8" t="s">
        <v>1099</v>
      </c>
      <c r="B713" s="5" t="s">
        <v>768</v>
      </c>
      <c r="C713">
        <v>1980</v>
      </c>
      <c r="D713">
        <f t="shared" ca="1" si="24"/>
        <v>45</v>
      </c>
      <c r="E713" s="5" t="s">
        <v>6</v>
      </c>
      <c r="F713" t="s">
        <v>54</v>
      </c>
      <c r="G713" s="4" t="str">
        <f t="shared" si="23"/>
        <v>500.000–1.000.000</v>
      </c>
      <c r="H713" t="s">
        <v>7</v>
      </c>
      <c r="I713">
        <v>2</v>
      </c>
      <c r="J713" t="s">
        <v>8</v>
      </c>
      <c r="K713" s="5" t="s">
        <v>114</v>
      </c>
      <c r="L713" s="5" t="s">
        <v>11</v>
      </c>
      <c r="M713" s="5" t="s">
        <v>57</v>
      </c>
      <c r="N713" s="5" t="s">
        <v>58</v>
      </c>
      <c r="O713" s="5" t="s">
        <v>42</v>
      </c>
      <c r="P713" s="5" t="s">
        <v>15</v>
      </c>
      <c r="Q713" s="5" t="s">
        <v>17</v>
      </c>
      <c r="R713" s="5" t="s">
        <v>43</v>
      </c>
      <c r="S713" s="5" t="s">
        <v>21</v>
      </c>
      <c r="T713" s="6" t="s">
        <v>23</v>
      </c>
      <c r="U713" s="6">
        <v>1</v>
      </c>
      <c r="V713" s="6" t="s">
        <v>26</v>
      </c>
      <c r="W713" s="6">
        <v>1</v>
      </c>
      <c r="X713" s="6" t="s">
        <v>46</v>
      </c>
      <c r="Y713">
        <v>0</v>
      </c>
      <c r="Z713" s="5" t="s">
        <v>46</v>
      </c>
      <c r="AA713" s="5" t="s">
        <v>46</v>
      </c>
      <c r="AB713" s="5" t="s">
        <v>46</v>
      </c>
    </row>
    <row r="714" spans="1:28" x14ac:dyDescent="0.35">
      <c r="A714" s="8" t="s">
        <v>1100</v>
      </c>
      <c r="B714" s="5" t="s">
        <v>769</v>
      </c>
      <c r="C714">
        <v>1980</v>
      </c>
      <c r="D714">
        <f t="shared" ca="1" si="24"/>
        <v>45</v>
      </c>
      <c r="E714" s="5" t="s">
        <v>28</v>
      </c>
      <c r="F714" t="s">
        <v>29</v>
      </c>
      <c r="G714" s="4" t="str">
        <f t="shared" si="23"/>
        <v>500.000–1.000.000</v>
      </c>
      <c r="H714" t="s">
        <v>7</v>
      </c>
      <c r="I714">
        <v>2</v>
      </c>
      <c r="J714" t="s">
        <v>8</v>
      </c>
      <c r="K714" s="5" t="s">
        <v>114</v>
      </c>
      <c r="L714" s="5" t="s">
        <v>11</v>
      </c>
      <c r="M714" s="5" t="s">
        <v>57</v>
      </c>
      <c r="N714" s="5" t="s">
        <v>58</v>
      </c>
      <c r="O714" s="5" t="s">
        <v>42</v>
      </c>
      <c r="P714" s="5" t="s">
        <v>15</v>
      </c>
      <c r="Q714" s="5" t="s">
        <v>17</v>
      </c>
      <c r="R714" s="5" t="s">
        <v>43</v>
      </c>
      <c r="S714" s="5" t="s">
        <v>21</v>
      </c>
      <c r="T714" s="6" t="s">
        <v>23</v>
      </c>
      <c r="U714" s="6">
        <v>1</v>
      </c>
      <c r="V714" s="6" t="s">
        <v>26</v>
      </c>
      <c r="W714" s="6">
        <v>1</v>
      </c>
      <c r="X714" s="6" t="s">
        <v>46</v>
      </c>
      <c r="Y714">
        <v>0</v>
      </c>
      <c r="Z714" s="5" t="s">
        <v>46</v>
      </c>
      <c r="AA714" s="5" t="s">
        <v>46</v>
      </c>
      <c r="AB714" s="5" t="s">
        <v>46</v>
      </c>
    </row>
    <row r="715" spans="1:28" x14ac:dyDescent="0.35">
      <c r="A715" s="8" t="s">
        <v>1101</v>
      </c>
      <c r="B715" s="5" t="s">
        <v>770</v>
      </c>
      <c r="C715">
        <v>1975</v>
      </c>
      <c r="D715">
        <f t="shared" ca="1" si="24"/>
        <v>50</v>
      </c>
      <c r="E715" s="5" t="s">
        <v>6</v>
      </c>
      <c r="F715" t="s">
        <v>151</v>
      </c>
      <c r="G715" s="4" t="str">
        <f t="shared" si="23"/>
        <v>500.000–1.000.000</v>
      </c>
      <c r="H715" t="s">
        <v>7</v>
      </c>
      <c r="I715">
        <v>1</v>
      </c>
      <c r="J715" t="s">
        <v>8</v>
      </c>
      <c r="K715" s="5" t="s">
        <v>10</v>
      </c>
      <c r="L715" s="5" t="s">
        <v>11</v>
      </c>
      <c r="M715" s="5" t="s">
        <v>40</v>
      </c>
      <c r="N715" s="5" t="s">
        <v>37</v>
      </c>
      <c r="O715" s="5" t="s">
        <v>42</v>
      </c>
      <c r="P715" s="5" t="s">
        <v>15</v>
      </c>
      <c r="Q715" s="5" t="s">
        <v>17</v>
      </c>
      <c r="R715" s="5" t="s">
        <v>43</v>
      </c>
      <c r="S715" s="5" t="s">
        <v>21</v>
      </c>
      <c r="T715" s="6" t="s">
        <v>23</v>
      </c>
      <c r="U715" s="6">
        <v>1</v>
      </c>
      <c r="V715" s="6" t="s">
        <v>76</v>
      </c>
      <c r="W715" s="6">
        <v>1</v>
      </c>
      <c r="X715" s="6" t="s">
        <v>46</v>
      </c>
      <c r="Y715">
        <v>0</v>
      </c>
      <c r="Z715" s="5" t="s">
        <v>46</v>
      </c>
      <c r="AA715" s="5" t="s">
        <v>46</v>
      </c>
      <c r="AB715" s="5" t="s">
        <v>46</v>
      </c>
    </row>
    <row r="716" spans="1:28" x14ac:dyDescent="0.35">
      <c r="A716" s="8" t="s">
        <v>1102</v>
      </c>
      <c r="B716" s="5" t="s">
        <v>260</v>
      </c>
      <c r="C716">
        <v>1976</v>
      </c>
      <c r="D716">
        <f t="shared" ca="1" si="24"/>
        <v>49</v>
      </c>
      <c r="E716" s="5" t="s">
        <v>28</v>
      </c>
      <c r="F716" t="s">
        <v>29</v>
      </c>
      <c r="G716" s="4" t="str">
        <f t="shared" si="23"/>
        <v>500.000–1.000.000</v>
      </c>
      <c r="H716" t="s">
        <v>7</v>
      </c>
      <c r="I716">
        <v>1</v>
      </c>
      <c r="J716" t="s">
        <v>8</v>
      </c>
      <c r="K716" s="5" t="s">
        <v>10</v>
      </c>
      <c r="L716" s="5" t="s">
        <v>11</v>
      </c>
      <c r="M716" s="5" t="s">
        <v>40</v>
      </c>
      <c r="N716" s="5" t="s">
        <v>37</v>
      </c>
      <c r="O716" s="5" t="s">
        <v>42</v>
      </c>
      <c r="P716" s="5" t="s">
        <v>15</v>
      </c>
      <c r="Q716" s="5" t="s">
        <v>17</v>
      </c>
      <c r="R716" s="5" t="s">
        <v>43</v>
      </c>
      <c r="S716" s="5" t="s">
        <v>21</v>
      </c>
      <c r="T716" s="6" t="s">
        <v>23</v>
      </c>
      <c r="U716" s="6">
        <v>1</v>
      </c>
      <c r="V716" s="6" t="s">
        <v>76</v>
      </c>
      <c r="W716" s="6">
        <v>1</v>
      </c>
      <c r="X716" s="6" t="s">
        <v>46</v>
      </c>
      <c r="Y716">
        <v>0</v>
      </c>
      <c r="Z716" s="5" t="s">
        <v>46</v>
      </c>
      <c r="AA716" s="5" t="s">
        <v>46</v>
      </c>
      <c r="AB716" s="5" t="s">
        <v>46</v>
      </c>
    </row>
    <row r="717" spans="1:28" x14ac:dyDescent="0.35">
      <c r="A717" s="8" t="s">
        <v>1103</v>
      </c>
      <c r="B717" s="5" t="s">
        <v>771</v>
      </c>
      <c r="C717">
        <v>1971</v>
      </c>
      <c r="D717">
        <f t="shared" ca="1" si="24"/>
        <v>54</v>
      </c>
      <c r="E717" s="5" t="s">
        <v>6</v>
      </c>
      <c r="F717" t="s">
        <v>55</v>
      </c>
      <c r="G717" s="4" t="str">
        <f t="shared" si="23"/>
        <v>1.000.000–2.000.000</v>
      </c>
      <c r="H717" t="s">
        <v>385</v>
      </c>
      <c r="I717">
        <v>1</v>
      </c>
      <c r="J717" t="s">
        <v>48</v>
      </c>
      <c r="K717" s="5" t="s">
        <v>10</v>
      </c>
      <c r="L717" s="5" t="s">
        <v>11</v>
      </c>
      <c r="M717" s="5" t="s">
        <v>40</v>
      </c>
      <c r="N717" s="5" t="s">
        <v>37</v>
      </c>
      <c r="O717" s="5" t="s">
        <v>42</v>
      </c>
      <c r="P717" s="5" t="s">
        <v>133</v>
      </c>
      <c r="Q717" s="5" t="s">
        <v>17</v>
      </c>
      <c r="R717" s="5" t="s">
        <v>43</v>
      </c>
      <c r="S717" s="5" t="s">
        <v>21</v>
      </c>
      <c r="T717" s="6" t="s">
        <v>23</v>
      </c>
      <c r="U717" s="6">
        <v>1</v>
      </c>
      <c r="V717" s="6" t="s">
        <v>76</v>
      </c>
      <c r="W717" s="6">
        <v>1</v>
      </c>
      <c r="X717" s="6" t="s">
        <v>60</v>
      </c>
      <c r="Y717">
        <v>1</v>
      </c>
      <c r="Z717" s="5" t="s">
        <v>46</v>
      </c>
      <c r="AA717" s="5" t="s">
        <v>46</v>
      </c>
      <c r="AB717" s="5" t="s">
        <v>46</v>
      </c>
    </row>
    <row r="718" spans="1:28" x14ac:dyDescent="0.35">
      <c r="A718" s="8" t="s">
        <v>1104</v>
      </c>
      <c r="B718" s="5" t="s">
        <v>772</v>
      </c>
      <c r="C718">
        <v>1998</v>
      </c>
      <c r="D718">
        <f t="shared" ca="1" si="24"/>
        <v>27</v>
      </c>
      <c r="E718" s="5" t="s">
        <v>6</v>
      </c>
      <c r="F718" t="s">
        <v>162</v>
      </c>
      <c r="G718" s="4" t="str">
        <f t="shared" si="23"/>
        <v>1.000.000–2.000.000</v>
      </c>
      <c r="H718" t="s">
        <v>63</v>
      </c>
      <c r="I718">
        <v>1</v>
      </c>
      <c r="J718" t="s">
        <v>8</v>
      </c>
      <c r="K718" s="5" t="s">
        <v>38</v>
      </c>
      <c r="L718" s="5" t="s">
        <v>11</v>
      </c>
      <c r="M718" s="5" t="s">
        <v>57</v>
      </c>
      <c r="N718" s="5" t="s">
        <v>58</v>
      </c>
      <c r="O718" s="5" t="s">
        <v>89</v>
      </c>
      <c r="P718" s="5" t="s">
        <v>15</v>
      </c>
      <c r="Q718" s="5" t="s">
        <v>17</v>
      </c>
      <c r="R718" s="5" t="s">
        <v>43</v>
      </c>
      <c r="S718" s="5" t="s">
        <v>21</v>
      </c>
      <c r="T718" s="6" t="s">
        <v>73</v>
      </c>
      <c r="U718" s="6">
        <v>0</v>
      </c>
      <c r="V718" s="6" t="s">
        <v>73</v>
      </c>
      <c r="W718" s="6">
        <v>0</v>
      </c>
      <c r="X718" s="6" t="s">
        <v>46</v>
      </c>
      <c r="Y718">
        <v>0</v>
      </c>
      <c r="Z718" s="5" t="s">
        <v>44</v>
      </c>
      <c r="AA718" s="5" t="s">
        <v>46</v>
      </c>
      <c r="AB718" s="5" t="s">
        <v>46</v>
      </c>
    </row>
    <row r="719" spans="1:28" x14ac:dyDescent="0.35">
      <c r="A719" s="8" t="s">
        <v>1105</v>
      </c>
      <c r="B719" s="5" t="s">
        <v>773</v>
      </c>
      <c r="C719">
        <v>1996</v>
      </c>
      <c r="D719">
        <f t="shared" ca="1" si="24"/>
        <v>29</v>
      </c>
      <c r="E719" s="5" t="s">
        <v>28</v>
      </c>
      <c r="F719" t="s">
        <v>29</v>
      </c>
      <c r="G719" s="4" t="str">
        <f t="shared" si="23"/>
        <v>&lt;500.000</v>
      </c>
      <c r="H719" t="s">
        <v>63</v>
      </c>
      <c r="I719">
        <v>1</v>
      </c>
      <c r="J719" t="s">
        <v>8</v>
      </c>
      <c r="K719" s="5" t="s">
        <v>38</v>
      </c>
      <c r="L719" s="5" t="s">
        <v>11</v>
      </c>
      <c r="M719" s="5" t="s">
        <v>57</v>
      </c>
      <c r="N719" s="5" t="s">
        <v>58</v>
      </c>
      <c r="O719" s="5" t="s">
        <v>89</v>
      </c>
      <c r="P719" s="5" t="s">
        <v>15</v>
      </c>
      <c r="Q719" s="5" t="s">
        <v>17</v>
      </c>
      <c r="R719" s="5" t="s">
        <v>43</v>
      </c>
      <c r="S719" s="5" t="s">
        <v>21</v>
      </c>
      <c r="T719" s="6" t="s">
        <v>73</v>
      </c>
      <c r="U719" s="6">
        <v>0</v>
      </c>
      <c r="V719" s="6" t="s">
        <v>73</v>
      </c>
      <c r="W719" s="6">
        <v>0</v>
      </c>
      <c r="X719" s="6" t="s">
        <v>46</v>
      </c>
      <c r="Y719">
        <v>0</v>
      </c>
      <c r="Z719" s="5" t="s">
        <v>44</v>
      </c>
      <c r="AA719" s="5" t="s">
        <v>46</v>
      </c>
      <c r="AB719" s="5" t="s">
        <v>46</v>
      </c>
    </row>
    <row r="720" spans="1:28" x14ac:dyDescent="0.35">
      <c r="A720" s="8" t="s">
        <v>1106</v>
      </c>
      <c r="B720" s="5" t="s">
        <v>330</v>
      </c>
      <c r="C720">
        <v>1970</v>
      </c>
      <c r="D720">
        <f t="shared" ca="1" si="24"/>
        <v>55</v>
      </c>
      <c r="E720" s="5" t="s">
        <v>6</v>
      </c>
      <c r="F720" t="s">
        <v>54</v>
      </c>
      <c r="G720" s="4" t="str">
        <f t="shared" si="23"/>
        <v>500.000–1.000.000</v>
      </c>
      <c r="H720" t="s">
        <v>7</v>
      </c>
      <c r="I720">
        <v>1</v>
      </c>
      <c r="J720" t="s">
        <v>8</v>
      </c>
      <c r="K720" s="5" t="s">
        <v>38</v>
      </c>
      <c r="L720" s="5" t="s">
        <v>11</v>
      </c>
      <c r="M720" s="5" t="s">
        <v>57</v>
      </c>
      <c r="N720" s="5" t="s">
        <v>58</v>
      </c>
      <c r="O720" s="5" t="s">
        <v>42</v>
      </c>
      <c r="P720" s="5" t="s">
        <v>15</v>
      </c>
      <c r="Q720" s="5" t="s">
        <v>17</v>
      </c>
      <c r="R720" s="5" t="s">
        <v>43</v>
      </c>
      <c r="S720" s="5" t="s">
        <v>21</v>
      </c>
      <c r="T720" s="6" t="s">
        <v>23</v>
      </c>
      <c r="U720" s="6">
        <v>0</v>
      </c>
      <c r="V720" s="6" t="s">
        <v>26</v>
      </c>
      <c r="W720" s="6">
        <v>1</v>
      </c>
      <c r="X720" s="6" t="s">
        <v>46</v>
      </c>
      <c r="Y720">
        <v>1</v>
      </c>
      <c r="Z720" s="5" t="s">
        <v>46</v>
      </c>
      <c r="AA720" s="5" t="s">
        <v>46</v>
      </c>
      <c r="AB720" s="5" t="s">
        <v>46</v>
      </c>
    </row>
    <row r="721" spans="1:28" x14ac:dyDescent="0.35">
      <c r="A721" s="8" t="s">
        <v>1107</v>
      </c>
      <c r="B721" s="5" t="s">
        <v>774</v>
      </c>
      <c r="C721">
        <v>1974</v>
      </c>
      <c r="D721">
        <f t="shared" ca="1" si="24"/>
        <v>51</v>
      </c>
      <c r="E721" s="5" t="s">
        <v>28</v>
      </c>
      <c r="F721" t="s">
        <v>29</v>
      </c>
      <c r="G721" s="4" t="str">
        <f t="shared" si="23"/>
        <v>&lt;500.000</v>
      </c>
      <c r="H721" t="s">
        <v>63</v>
      </c>
      <c r="I721">
        <v>1</v>
      </c>
      <c r="J721" t="s">
        <v>8</v>
      </c>
      <c r="K721" s="5" t="s">
        <v>38</v>
      </c>
      <c r="L721" s="5" t="s">
        <v>11</v>
      </c>
      <c r="M721" s="5" t="s">
        <v>57</v>
      </c>
      <c r="N721" s="5" t="s">
        <v>58</v>
      </c>
      <c r="O721" s="5" t="s">
        <v>42</v>
      </c>
      <c r="P721" s="5" t="s">
        <v>15</v>
      </c>
      <c r="Q721" s="5" t="s">
        <v>17</v>
      </c>
      <c r="R721" s="5" t="s">
        <v>43</v>
      </c>
      <c r="S721" s="5" t="s">
        <v>21</v>
      </c>
      <c r="T721" s="6" t="s">
        <v>23</v>
      </c>
      <c r="U721" s="6">
        <v>0</v>
      </c>
      <c r="V721" s="6" t="s">
        <v>26</v>
      </c>
      <c r="W721" s="6">
        <v>1</v>
      </c>
      <c r="X721" s="6" t="s">
        <v>46</v>
      </c>
      <c r="Y721">
        <v>1</v>
      </c>
      <c r="Z721" s="5" t="s">
        <v>46</v>
      </c>
      <c r="AA721" s="5" t="s">
        <v>46</v>
      </c>
      <c r="AB721" s="5" t="s">
        <v>46</v>
      </c>
    </row>
    <row r="722" spans="1:28" x14ac:dyDescent="0.35">
      <c r="A722" s="8" t="s">
        <v>1108</v>
      </c>
      <c r="B722" s="5" t="s">
        <v>775</v>
      </c>
      <c r="C722">
        <v>1974</v>
      </c>
      <c r="D722">
        <f t="shared" ca="1" si="24"/>
        <v>51</v>
      </c>
      <c r="E722" s="5" t="s">
        <v>6</v>
      </c>
      <c r="F722" t="s">
        <v>29</v>
      </c>
      <c r="G722" s="4" t="str">
        <f t="shared" si="23"/>
        <v>500.000–1.000.000</v>
      </c>
      <c r="H722" t="s">
        <v>7</v>
      </c>
      <c r="I722">
        <v>2</v>
      </c>
      <c r="J722" t="s">
        <v>8</v>
      </c>
      <c r="K722" s="5" t="s">
        <v>114</v>
      </c>
      <c r="L722" s="5" t="s">
        <v>11</v>
      </c>
      <c r="M722" s="5" t="s">
        <v>57</v>
      </c>
      <c r="N722" s="5" t="s">
        <v>58</v>
      </c>
      <c r="O722" s="5" t="s">
        <v>42</v>
      </c>
      <c r="P722" s="5" t="s">
        <v>15</v>
      </c>
      <c r="Q722" s="5" t="s">
        <v>17</v>
      </c>
      <c r="R722" s="5" t="s">
        <v>43</v>
      </c>
      <c r="S722" s="5" t="s">
        <v>21</v>
      </c>
      <c r="T722" s="6" t="s">
        <v>23</v>
      </c>
      <c r="U722" s="6">
        <v>1</v>
      </c>
      <c r="V722" s="6" t="s">
        <v>401</v>
      </c>
      <c r="W722" s="6">
        <v>1</v>
      </c>
      <c r="X722" s="6" t="s">
        <v>46</v>
      </c>
      <c r="Y722">
        <v>1</v>
      </c>
      <c r="Z722" s="5" t="s">
        <v>46</v>
      </c>
      <c r="AA722" s="5" t="s">
        <v>46</v>
      </c>
      <c r="AB722" s="5" t="s">
        <v>74</v>
      </c>
    </row>
    <row r="723" spans="1:28" x14ac:dyDescent="0.35">
      <c r="A723" s="8" t="s">
        <v>1109</v>
      </c>
      <c r="B723" s="5" t="s">
        <v>776</v>
      </c>
      <c r="C723">
        <v>1983</v>
      </c>
      <c r="D723">
        <f t="shared" ca="1" si="24"/>
        <v>42</v>
      </c>
      <c r="E723" s="5" t="s">
        <v>6</v>
      </c>
      <c r="F723" t="s">
        <v>55</v>
      </c>
      <c r="G723" s="4" t="str">
        <f t="shared" si="23"/>
        <v>1.000.000–2.000.000</v>
      </c>
      <c r="H723" t="s">
        <v>139</v>
      </c>
      <c r="I723">
        <v>2</v>
      </c>
      <c r="J723" t="s">
        <v>8</v>
      </c>
      <c r="K723" s="5" t="s">
        <v>38</v>
      </c>
      <c r="L723" s="5" t="s">
        <v>49</v>
      </c>
      <c r="M723" s="5" t="s">
        <v>57</v>
      </c>
      <c r="N723" s="5" t="s">
        <v>58</v>
      </c>
      <c r="O723" s="5" t="s">
        <v>42</v>
      </c>
      <c r="P723" s="5" t="s">
        <v>15</v>
      </c>
      <c r="Q723" s="5" t="s">
        <v>17</v>
      </c>
      <c r="R723" s="5" t="s">
        <v>43</v>
      </c>
      <c r="S723" s="5" t="s">
        <v>21</v>
      </c>
      <c r="T723" s="6" t="s">
        <v>84</v>
      </c>
      <c r="U723" s="6">
        <v>1</v>
      </c>
      <c r="V723" s="6" t="s">
        <v>26</v>
      </c>
      <c r="W723" s="6">
        <v>1</v>
      </c>
      <c r="X723" s="6" t="s">
        <v>60</v>
      </c>
      <c r="Y723">
        <v>2</v>
      </c>
      <c r="Z723" s="5" t="s">
        <v>46</v>
      </c>
      <c r="AA723" s="5" t="s">
        <v>46</v>
      </c>
      <c r="AB723" s="5" t="s">
        <v>46</v>
      </c>
    </row>
    <row r="724" spans="1:28" x14ac:dyDescent="0.35">
      <c r="A724" s="8" t="s">
        <v>1110</v>
      </c>
      <c r="B724" s="5" t="s">
        <v>777</v>
      </c>
      <c r="C724">
        <v>1989</v>
      </c>
      <c r="D724">
        <f t="shared" ca="1" si="24"/>
        <v>36</v>
      </c>
      <c r="E724" s="5" t="s">
        <v>28</v>
      </c>
      <c r="F724" t="s">
        <v>29</v>
      </c>
      <c r="G724" s="4" t="str">
        <f t="shared" si="23"/>
        <v>&lt;500.000</v>
      </c>
      <c r="H724" t="s">
        <v>30</v>
      </c>
      <c r="I724">
        <v>2</v>
      </c>
      <c r="J724" t="s">
        <v>8</v>
      </c>
      <c r="K724" s="5" t="s">
        <v>38</v>
      </c>
      <c r="L724" s="5" t="s">
        <v>49</v>
      </c>
      <c r="M724" s="5" t="s">
        <v>57</v>
      </c>
      <c r="N724" s="5" t="s">
        <v>58</v>
      </c>
      <c r="O724" s="5" t="s">
        <v>42</v>
      </c>
      <c r="P724" s="5" t="s">
        <v>15</v>
      </c>
      <c r="Q724" s="5" t="s">
        <v>17</v>
      </c>
      <c r="R724" s="5" t="s">
        <v>43</v>
      </c>
      <c r="S724" s="5" t="s">
        <v>21</v>
      </c>
      <c r="T724" s="6" t="s">
        <v>84</v>
      </c>
      <c r="U724" s="6">
        <v>1</v>
      </c>
      <c r="V724" s="6" t="s">
        <v>26</v>
      </c>
      <c r="W724" s="6">
        <v>1</v>
      </c>
      <c r="X724" s="6" t="s">
        <v>60</v>
      </c>
      <c r="Y724">
        <v>2</v>
      </c>
      <c r="Z724" s="5" t="s">
        <v>46</v>
      </c>
      <c r="AA724" s="5" t="s">
        <v>46</v>
      </c>
      <c r="AB724" s="5" t="s">
        <v>46</v>
      </c>
    </row>
    <row r="725" spans="1:28" x14ac:dyDescent="0.35">
      <c r="A725" s="8"/>
      <c r="B725" s="5"/>
      <c r="E725" s="5"/>
      <c r="G725" s="4"/>
      <c r="K725" s="5"/>
      <c r="L725" s="5"/>
      <c r="M725" s="5"/>
      <c r="N725" s="5"/>
      <c r="O725" s="5"/>
      <c r="P725" s="5"/>
      <c r="Q725" s="5"/>
      <c r="R725" s="5"/>
      <c r="S725" s="6"/>
      <c r="T725" s="6"/>
      <c r="U725" s="6"/>
      <c r="V725" s="6"/>
      <c r="W725" s="6"/>
      <c r="X725" s="6"/>
      <c r="Z725" s="5"/>
      <c r="AA725" s="5"/>
      <c r="AB725" s="5"/>
    </row>
    <row r="726" spans="1:28" x14ac:dyDescent="0.35">
      <c r="A726" s="8"/>
      <c r="B726" s="5"/>
      <c r="E726" s="5"/>
      <c r="G726" s="4"/>
      <c r="K726" s="5"/>
      <c r="L726" s="5"/>
      <c r="M726" s="5"/>
      <c r="N726" s="5"/>
      <c r="O726" s="5"/>
      <c r="P726" s="5"/>
      <c r="Q726" s="5"/>
      <c r="R726" s="5"/>
      <c r="S726" s="6"/>
      <c r="T726" s="6"/>
      <c r="U726" s="6"/>
      <c r="V726" s="6"/>
      <c r="W726" s="6"/>
      <c r="X726" s="6"/>
      <c r="Z726" s="5"/>
      <c r="AA726" s="5"/>
      <c r="AB726" s="5"/>
    </row>
    <row r="727" spans="1:28" x14ac:dyDescent="0.35">
      <c r="A727" s="8"/>
      <c r="B727" s="5"/>
      <c r="E727" s="5"/>
      <c r="G727" s="4"/>
      <c r="K727" s="5"/>
      <c r="L727" s="5"/>
      <c r="M727" s="5"/>
      <c r="N727" s="5"/>
      <c r="O727" s="5"/>
      <c r="P727" s="5"/>
      <c r="Q727" s="5"/>
      <c r="R727" s="5"/>
      <c r="S727" s="6"/>
      <c r="T727" s="6"/>
      <c r="U727" s="6"/>
      <c r="V727" s="6"/>
      <c r="W727" s="6"/>
      <c r="X727" s="6"/>
      <c r="Z727" s="5"/>
      <c r="AA727" s="5"/>
      <c r="AB727" s="5"/>
    </row>
    <row r="728" spans="1:28" x14ac:dyDescent="0.35">
      <c r="A728" s="8"/>
      <c r="B728" s="5"/>
      <c r="E728" s="5"/>
      <c r="G728" s="4"/>
      <c r="K728" s="5"/>
      <c r="L728" s="5"/>
      <c r="M728" s="5"/>
      <c r="N728" s="5"/>
      <c r="O728" s="5"/>
      <c r="P728" s="5"/>
      <c r="Q728" s="5"/>
      <c r="R728" s="5"/>
      <c r="S728" s="6"/>
      <c r="T728" s="6"/>
      <c r="U728" s="6"/>
      <c r="V728" s="6"/>
      <c r="W728" s="6"/>
      <c r="X728" s="6"/>
      <c r="Z728" s="5"/>
      <c r="AA728" s="5"/>
      <c r="AB728" s="5"/>
    </row>
    <row r="729" spans="1:28" x14ac:dyDescent="0.35">
      <c r="A729" s="8"/>
      <c r="B729" s="5"/>
      <c r="E729" s="5"/>
      <c r="G729" s="4"/>
      <c r="K729" s="5"/>
      <c r="L729" s="5"/>
      <c r="M729" s="5"/>
      <c r="N729" s="5"/>
      <c r="O729" s="5"/>
      <c r="P729" s="5"/>
      <c r="Q729" s="5"/>
      <c r="R729" s="5"/>
      <c r="S729" s="6"/>
      <c r="T729" s="6"/>
      <c r="U729" s="6"/>
      <c r="V729" s="6"/>
      <c r="W729" s="6"/>
      <c r="X729" s="6"/>
      <c r="Z729" s="5"/>
      <c r="AA729" s="5"/>
      <c r="AB729" s="5"/>
    </row>
    <row r="730" spans="1:28" x14ac:dyDescent="0.35">
      <c r="A730" s="8"/>
      <c r="B730" s="5"/>
      <c r="E730" s="5"/>
      <c r="G730" s="4"/>
      <c r="K730" s="5"/>
      <c r="L730" s="5"/>
      <c r="M730" s="5"/>
      <c r="N730" s="5"/>
      <c r="O730" s="5"/>
      <c r="P730" s="5"/>
      <c r="Q730" s="5"/>
      <c r="R730" s="5"/>
      <c r="S730" s="6"/>
      <c r="T730" s="6"/>
      <c r="U730" s="6"/>
      <c r="V730" s="6"/>
      <c r="W730" s="6"/>
      <c r="X730" s="6"/>
      <c r="Z730" s="5"/>
      <c r="AA730" s="5"/>
      <c r="AB730" s="5"/>
    </row>
    <row r="731" spans="1:28" x14ac:dyDescent="0.35">
      <c r="A731" s="8"/>
      <c r="B731" s="5"/>
      <c r="E731" s="5"/>
      <c r="G731" s="4"/>
      <c r="K731" s="5"/>
      <c r="L731" s="5"/>
      <c r="M731" s="5"/>
      <c r="N731" s="5"/>
      <c r="O731" s="5"/>
      <c r="P731" s="5"/>
      <c r="Q731" s="5"/>
      <c r="R731" s="5"/>
      <c r="S731" s="6"/>
      <c r="T731" s="6"/>
      <c r="U731" s="6"/>
      <c r="V731" s="6"/>
      <c r="W731" s="6"/>
      <c r="X731" s="6"/>
      <c r="Z731" s="5"/>
      <c r="AA731" s="5"/>
      <c r="AB731" s="5"/>
    </row>
    <row r="732" spans="1:28" x14ac:dyDescent="0.35">
      <c r="A732" s="8"/>
      <c r="B732" s="5"/>
      <c r="E732" s="5"/>
      <c r="G732" s="4"/>
      <c r="K732" s="5"/>
      <c r="L732" s="5"/>
      <c r="M732" s="5"/>
      <c r="N732" s="5"/>
      <c r="O732" s="5"/>
      <c r="P732" s="5"/>
      <c r="Q732" s="5"/>
      <c r="R732" s="5"/>
      <c r="S732" s="6"/>
      <c r="T732" s="6"/>
      <c r="U732" s="6"/>
      <c r="V732" s="6"/>
      <c r="W732" s="6"/>
      <c r="X732" s="6"/>
      <c r="Z732" s="5"/>
      <c r="AA732" s="5"/>
      <c r="AB732" s="5"/>
    </row>
    <row r="733" spans="1:28" x14ac:dyDescent="0.35">
      <c r="A733" s="8"/>
      <c r="B733" s="5"/>
      <c r="E733" s="5"/>
      <c r="G733" s="4"/>
      <c r="K733" s="5"/>
      <c r="L733" s="5"/>
      <c r="M733" s="5"/>
      <c r="N733" s="5"/>
      <c r="O733" s="5"/>
      <c r="P733" s="5"/>
      <c r="Q733" s="5"/>
      <c r="R733" s="5"/>
      <c r="S733" s="6"/>
      <c r="T733" s="6"/>
      <c r="U733" s="6"/>
      <c r="V733" s="6"/>
      <c r="W733" s="6"/>
      <c r="X733" s="6"/>
      <c r="Z733" s="5"/>
      <c r="AA733" s="5"/>
      <c r="AB733" s="5"/>
    </row>
    <row r="734" spans="1:28" x14ac:dyDescent="0.35">
      <c r="A734" s="8"/>
      <c r="B734" s="5"/>
      <c r="E734" s="5"/>
      <c r="G734" s="4"/>
      <c r="K734" s="5"/>
      <c r="L734" s="5"/>
      <c r="M734" s="5"/>
      <c r="N734" s="5"/>
      <c r="O734" s="5"/>
      <c r="P734" s="5"/>
      <c r="Q734" s="5"/>
      <c r="R734" s="5"/>
      <c r="S734" s="6"/>
      <c r="T734" s="6"/>
      <c r="U734" s="6"/>
      <c r="V734" s="6"/>
      <c r="W734" s="6"/>
      <c r="X734" s="6"/>
      <c r="Z734" s="5"/>
      <c r="AA734" s="5"/>
      <c r="AB734" s="5"/>
    </row>
    <row r="735" spans="1:28" x14ac:dyDescent="0.35">
      <c r="A735" s="8"/>
      <c r="B735" s="5"/>
      <c r="E735" s="5"/>
      <c r="G735" s="4"/>
      <c r="K735" s="5"/>
      <c r="L735" s="5"/>
      <c r="M735" s="5"/>
      <c r="N735" s="5"/>
      <c r="O735" s="5"/>
      <c r="P735" s="5"/>
      <c r="Q735" s="5"/>
      <c r="R735" s="5"/>
      <c r="S735" s="6"/>
      <c r="T735" s="6"/>
      <c r="U735" s="6"/>
      <c r="V735" s="6"/>
      <c r="W735" s="6"/>
      <c r="X735" s="6"/>
      <c r="Z735" s="5"/>
      <c r="AA735" s="5"/>
      <c r="AB735" s="5"/>
    </row>
    <row r="736" spans="1:28" x14ac:dyDescent="0.35">
      <c r="A736" s="8"/>
      <c r="B736" s="5"/>
      <c r="E736" s="5"/>
      <c r="G736" s="4"/>
      <c r="K736" s="5"/>
      <c r="L736" s="5"/>
      <c r="M736" s="5"/>
      <c r="N736" s="5"/>
      <c r="O736" s="5"/>
      <c r="P736" s="5"/>
      <c r="Q736" s="5"/>
      <c r="R736" s="5"/>
      <c r="S736" s="6"/>
      <c r="T736" s="6"/>
      <c r="U736" s="6"/>
      <c r="V736" s="6"/>
      <c r="W736" s="6"/>
      <c r="X736" s="6"/>
      <c r="Z736" s="5"/>
      <c r="AA736" s="5"/>
      <c r="AB736" s="5"/>
    </row>
    <row r="737" spans="1:28" x14ac:dyDescent="0.35">
      <c r="A737" s="8"/>
      <c r="B737" s="5"/>
      <c r="E737" s="5"/>
      <c r="G737" s="4"/>
      <c r="K737" s="5"/>
      <c r="L737" s="5"/>
      <c r="M737" s="5"/>
      <c r="N737" s="5"/>
      <c r="O737" s="5"/>
      <c r="P737" s="5"/>
      <c r="Q737" s="5"/>
      <c r="R737" s="5"/>
      <c r="S737" s="6"/>
      <c r="T737" s="6"/>
      <c r="U737" s="6"/>
      <c r="V737" s="6"/>
      <c r="W737" s="6"/>
      <c r="X737" s="6"/>
      <c r="Z737" s="5"/>
      <c r="AA737" s="5"/>
      <c r="AB737" s="5"/>
    </row>
    <row r="738" spans="1:28" x14ac:dyDescent="0.35">
      <c r="A738" s="8"/>
      <c r="B738" s="5"/>
      <c r="E738" s="5"/>
      <c r="G738" s="4"/>
      <c r="K738" s="5"/>
      <c r="L738" s="5"/>
      <c r="M738" s="5"/>
      <c r="N738" s="5"/>
      <c r="O738" s="5"/>
      <c r="P738" s="5"/>
      <c r="Q738" s="5"/>
      <c r="R738" s="5"/>
      <c r="S738" s="6"/>
      <c r="T738" s="6"/>
      <c r="U738" s="6"/>
      <c r="V738" s="6"/>
      <c r="W738" s="6"/>
      <c r="X738" s="6"/>
      <c r="Z738" s="5"/>
      <c r="AA738" s="5"/>
      <c r="AB738" s="5"/>
    </row>
    <row r="739" spans="1:28" x14ac:dyDescent="0.35">
      <c r="A739" s="8"/>
      <c r="B739" s="5"/>
      <c r="E739" s="5"/>
      <c r="G739" s="4"/>
      <c r="K739" s="5"/>
      <c r="L739" s="5"/>
      <c r="M739" s="5"/>
      <c r="N739" s="5"/>
      <c r="O739" s="5"/>
      <c r="P739" s="5"/>
      <c r="Q739" s="5"/>
      <c r="R739" s="5"/>
      <c r="S739" s="6"/>
      <c r="T739" s="6"/>
      <c r="U739" s="6"/>
      <c r="V739" s="6"/>
      <c r="W739" s="6"/>
      <c r="X739" s="6"/>
      <c r="Z739" s="5"/>
      <c r="AA739" s="5"/>
      <c r="AB739" s="5"/>
    </row>
    <row r="740" spans="1:28" x14ac:dyDescent="0.35">
      <c r="A740" s="8"/>
      <c r="B740" s="5"/>
      <c r="E740" s="5"/>
      <c r="G740" s="4"/>
      <c r="K740" s="5"/>
      <c r="L740" s="5"/>
      <c r="M740" s="5"/>
      <c r="N740" s="5"/>
      <c r="O740" s="5"/>
      <c r="P740" s="5"/>
      <c r="Q740" s="5"/>
      <c r="R740" s="5"/>
      <c r="S740" s="6"/>
      <c r="T740" s="6"/>
      <c r="U740" s="6"/>
      <c r="V740" s="6"/>
      <c r="W740" s="6"/>
      <c r="X740" s="6"/>
      <c r="Z740" s="5"/>
      <c r="AA740" s="5"/>
      <c r="AB740" s="5"/>
    </row>
    <row r="741" spans="1:28" x14ac:dyDescent="0.35">
      <c r="A741" s="8"/>
      <c r="B741" s="5"/>
      <c r="E741" s="5"/>
      <c r="G741" s="4"/>
      <c r="K741" s="5"/>
      <c r="L741" s="5"/>
      <c r="M741" s="5"/>
      <c r="N741" s="5"/>
      <c r="O741" s="5"/>
      <c r="P741" s="5"/>
      <c r="Q741" s="5"/>
      <c r="R741" s="5"/>
      <c r="S741" s="6"/>
      <c r="T741" s="6"/>
      <c r="U741" s="6"/>
      <c r="V741" s="6"/>
      <c r="W741" s="6"/>
      <c r="X741" s="6"/>
      <c r="Z741" s="5"/>
      <c r="AA741" s="5"/>
      <c r="AB741" s="5"/>
    </row>
    <row r="742" spans="1:28" x14ac:dyDescent="0.35">
      <c r="A742" s="8"/>
      <c r="B742" s="5"/>
      <c r="E742" s="5"/>
      <c r="G742" s="4"/>
      <c r="K742" s="5"/>
      <c r="L742" s="5"/>
      <c r="M742" s="5"/>
      <c r="N742" s="5"/>
      <c r="O742" s="5"/>
      <c r="P742" s="5"/>
      <c r="Q742" s="5"/>
      <c r="R742" s="5"/>
      <c r="S742" s="6"/>
      <c r="T742" s="6"/>
      <c r="U742" s="6"/>
      <c r="V742" s="6"/>
      <c r="W742" s="6"/>
      <c r="X742" s="6"/>
      <c r="Z742" s="5"/>
      <c r="AA742" s="5"/>
      <c r="AB742" s="5"/>
    </row>
    <row r="743" spans="1:28" x14ac:dyDescent="0.35">
      <c r="A743" s="8"/>
      <c r="B743" s="5"/>
      <c r="E743" s="5"/>
      <c r="G743" s="4"/>
      <c r="K743" s="5"/>
      <c r="L743" s="5"/>
      <c r="M743" s="5"/>
      <c r="N743" s="5"/>
      <c r="O743" s="5"/>
      <c r="P743" s="5"/>
      <c r="Q743" s="5"/>
      <c r="R743" s="5"/>
      <c r="S743" s="6"/>
      <c r="T743" s="6"/>
      <c r="U743" s="6"/>
      <c r="V743" s="6"/>
      <c r="W743" s="6"/>
      <c r="X743" s="6"/>
      <c r="Z743" s="5"/>
      <c r="AA743" s="5"/>
      <c r="AB743" s="5"/>
    </row>
    <row r="744" spans="1:28" x14ac:dyDescent="0.35">
      <c r="A744" s="8"/>
      <c r="B744" s="5"/>
      <c r="E744" s="5"/>
      <c r="G744" s="4"/>
      <c r="K744" s="5"/>
      <c r="L744" s="5"/>
      <c r="M744" s="5"/>
      <c r="N744" s="5"/>
      <c r="O744" s="5"/>
      <c r="P744" s="5"/>
      <c r="Q744" s="5"/>
      <c r="R744" s="5"/>
      <c r="S744" s="6"/>
      <c r="T744" s="6"/>
      <c r="U744" s="6"/>
      <c r="V744" s="6"/>
      <c r="W744" s="6"/>
      <c r="X744" s="6"/>
      <c r="Z744" s="5"/>
      <c r="AA744" s="5"/>
      <c r="AB744" s="5"/>
    </row>
    <row r="745" spans="1:28" x14ac:dyDescent="0.35">
      <c r="A745" s="8"/>
      <c r="B745" s="5"/>
      <c r="E745" s="5"/>
      <c r="G745" s="4"/>
      <c r="K745" s="5"/>
      <c r="L745" s="5"/>
      <c r="M745" s="5"/>
      <c r="N745" s="5"/>
      <c r="O745" s="5"/>
      <c r="P745" s="5"/>
      <c r="Q745" s="5"/>
      <c r="R745" s="5"/>
      <c r="S745" s="6"/>
      <c r="T745" s="6"/>
      <c r="U745" s="6"/>
      <c r="V745" s="6"/>
      <c r="W745" s="6"/>
      <c r="X745" s="6"/>
      <c r="Z745" s="5"/>
      <c r="AA745" s="5"/>
      <c r="AB745" s="5"/>
    </row>
    <row r="746" spans="1:28" x14ac:dyDescent="0.35">
      <c r="A746" s="8"/>
      <c r="B746" s="5"/>
      <c r="E746" s="5"/>
      <c r="G746" s="4"/>
      <c r="K746" s="5"/>
      <c r="L746" s="5"/>
      <c r="M746" s="5"/>
      <c r="N746" s="5"/>
      <c r="O746" s="5"/>
      <c r="P746" s="5"/>
      <c r="Q746" s="5"/>
      <c r="R746" s="5"/>
      <c r="S746" s="6"/>
      <c r="T746" s="6"/>
      <c r="U746" s="6"/>
      <c r="V746" s="6"/>
      <c r="W746" s="6"/>
      <c r="X746" s="6"/>
      <c r="Z746" s="5"/>
      <c r="AA746" s="5"/>
      <c r="AB746" s="5"/>
    </row>
    <row r="747" spans="1:28" x14ac:dyDescent="0.35">
      <c r="A747" s="8"/>
      <c r="B747" s="5"/>
      <c r="E747" s="5"/>
      <c r="G747" s="4"/>
      <c r="K747" s="5"/>
      <c r="L747" s="5"/>
      <c r="M747" s="5"/>
      <c r="N747" s="5"/>
      <c r="O747" s="5"/>
      <c r="P747" s="5"/>
      <c r="Q747" s="5"/>
      <c r="R747" s="5"/>
      <c r="S747" s="6"/>
      <c r="T747" s="6"/>
      <c r="U747" s="6"/>
      <c r="V747" s="6"/>
      <c r="W747" s="6"/>
      <c r="X747" s="6"/>
      <c r="Z747" s="5"/>
      <c r="AA747" s="5"/>
      <c r="AB747" s="5"/>
    </row>
    <row r="748" spans="1:28" x14ac:dyDescent="0.35">
      <c r="A748" s="8"/>
      <c r="B748" s="5"/>
      <c r="E748" s="5"/>
      <c r="G748" s="4"/>
      <c r="K748" s="5"/>
      <c r="L748" s="5"/>
      <c r="M748" s="5"/>
      <c r="N748" s="5"/>
      <c r="O748" s="5"/>
      <c r="P748" s="5"/>
      <c r="Q748" s="5"/>
      <c r="R748" s="5"/>
      <c r="S748" s="6"/>
      <c r="T748" s="6"/>
      <c r="U748" s="6"/>
      <c r="V748" s="6"/>
      <c r="W748" s="6"/>
      <c r="X748" s="6"/>
      <c r="Z748" s="5"/>
      <c r="AA748" s="5"/>
      <c r="AB748" s="5"/>
    </row>
    <row r="749" spans="1:28" x14ac:dyDescent="0.35">
      <c r="A749" s="8"/>
      <c r="B749" s="5"/>
      <c r="E749" s="5"/>
      <c r="G749" s="4"/>
      <c r="K749" s="5"/>
      <c r="L749" s="5"/>
      <c r="M749" s="5"/>
      <c r="N749" s="5"/>
      <c r="O749" s="5"/>
      <c r="P749" s="5"/>
      <c r="Q749" s="5"/>
      <c r="R749" s="5"/>
      <c r="S749" s="6"/>
      <c r="T749" s="6"/>
      <c r="U749" s="6"/>
      <c r="V749" s="6"/>
      <c r="W749" s="6"/>
      <c r="X749" s="6"/>
      <c r="Z749" s="5"/>
      <c r="AA749" s="5"/>
      <c r="AB749" s="5"/>
    </row>
    <row r="750" spans="1:28" x14ac:dyDescent="0.35">
      <c r="A750" s="8"/>
      <c r="B750" s="5"/>
      <c r="E750" s="5"/>
      <c r="G750" s="4"/>
      <c r="K750" s="5"/>
      <c r="L750" s="5"/>
      <c r="M750" s="5"/>
      <c r="N750" s="5"/>
      <c r="O750" s="5"/>
      <c r="P750" s="5"/>
      <c r="Q750" s="5"/>
      <c r="R750" s="5"/>
      <c r="S750" s="6"/>
      <c r="T750" s="6"/>
      <c r="U750" s="6"/>
      <c r="V750" s="6"/>
      <c r="W750" s="6"/>
      <c r="X750" s="6"/>
      <c r="Z750" s="5"/>
      <c r="AA750" s="5"/>
      <c r="AB750" s="5"/>
    </row>
    <row r="751" spans="1:28" x14ac:dyDescent="0.35">
      <c r="A751" s="8"/>
      <c r="B751" s="5"/>
      <c r="E751" s="5"/>
      <c r="G751" s="4"/>
      <c r="K751" s="5"/>
      <c r="L751" s="5"/>
      <c r="M751" s="5"/>
      <c r="N751" s="5"/>
      <c r="O751" s="5"/>
      <c r="P751" s="5"/>
      <c r="Q751" s="5"/>
      <c r="R751" s="5"/>
      <c r="S751" s="6"/>
      <c r="T751" s="6"/>
      <c r="U751" s="6"/>
      <c r="V751" s="6"/>
      <c r="W751" s="6"/>
      <c r="X751" s="6"/>
      <c r="Z751" s="5"/>
      <c r="AA751" s="5"/>
      <c r="AB751" s="5"/>
    </row>
    <row r="752" spans="1:28" x14ac:dyDescent="0.35">
      <c r="A752" s="8"/>
      <c r="B752" s="5"/>
      <c r="E752" s="5"/>
      <c r="G752" s="4"/>
      <c r="K752" s="5"/>
      <c r="L752" s="5"/>
      <c r="M752" s="5"/>
      <c r="N752" s="5"/>
      <c r="O752" s="5"/>
      <c r="P752" s="5"/>
      <c r="Q752" s="5"/>
      <c r="R752" s="5"/>
      <c r="S752" s="6"/>
      <c r="T752" s="6"/>
      <c r="U752" s="6"/>
      <c r="V752" s="6"/>
      <c r="W752" s="6"/>
      <c r="X752" s="6"/>
      <c r="Z752" s="5"/>
      <c r="AA752" s="5"/>
      <c r="AB752" s="5"/>
    </row>
    <row r="753" spans="1:28" x14ac:dyDescent="0.35">
      <c r="A753" s="8"/>
      <c r="B753" s="5"/>
      <c r="E753" s="5"/>
      <c r="G753" s="4"/>
      <c r="K753" s="5"/>
      <c r="L753" s="5"/>
      <c r="M753" s="5"/>
      <c r="N753" s="5"/>
      <c r="O753" s="5"/>
      <c r="P753" s="5"/>
      <c r="Q753" s="5"/>
      <c r="R753" s="5"/>
      <c r="S753" s="6"/>
      <c r="T753" s="6"/>
      <c r="U753" s="6"/>
      <c r="V753" s="6"/>
      <c r="W753" s="6"/>
      <c r="X753" s="6"/>
      <c r="Z753" s="5"/>
      <c r="AA753" s="5"/>
      <c r="AB753" s="5"/>
    </row>
    <row r="754" spans="1:28" x14ac:dyDescent="0.35">
      <c r="A754" s="8"/>
      <c r="B754" s="5"/>
      <c r="E754" s="5"/>
      <c r="G754" s="4"/>
      <c r="K754" s="5"/>
      <c r="L754" s="5"/>
      <c r="M754" s="5"/>
      <c r="N754" s="5"/>
      <c r="O754" s="5"/>
      <c r="P754" s="5"/>
      <c r="Q754" s="5"/>
      <c r="R754" s="5"/>
      <c r="S754" s="6"/>
      <c r="T754" s="6"/>
      <c r="U754" s="6"/>
      <c r="V754" s="6"/>
      <c r="W754" s="6"/>
      <c r="X754" s="6"/>
      <c r="Z754" s="5"/>
      <c r="AA754" s="5"/>
      <c r="AB754" s="5"/>
    </row>
    <row r="755" spans="1:28" x14ac:dyDescent="0.35">
      <c r="A755" s="8"/>
      <c r="B755" s="5"/>
      <c r="E755" s="5"/>
      <c r="G755" s="4"/>
      <c r="K755" s="5"/>
      <c r="L755" s="5"/>
      <c r="M755" s="5"/>
      <c r="N755" s="5"/>
      <c r="O755" s="5"/>
      <c r="P755" s="5"/>
      <c r="Q755" s="5"/>
      <c r="R755" s="5"/>
      <c r="S755" s="6"/>
      <c r="T755" s="6"/>
      <c r="U755" s="6"/>
      <c r="V755" s="6"/>
      <c r="W755" s="6"/>
      <c r="X755" s="6"/>
      <c r="Z755" s="5"/>
      <c r="AA755" s="5"/>
      <c r="AB755" s="5"/>
    </row>
    <row r="756" spans="1:28" x14ac:dyDescent="0.35">
      <c r="A756" s="8"/>
      <c r="B756" s="5"/>
      <c r="E756" s="5"/>
      <c r="G756" s="4"/>
      <c r="K756" s="5"/>
      <c r="L756" s="5"/>
      <c r="M756" s="5"/>
      <c r="N756" s="5"/>
      <c r="O756" s="5"/>
      <c r="P756" s="5"/>
      <c r="Q756" s="5"/>
      <c r="R756" s="5"/>
      <c r="S756" s="6"/>
      <c r="T756" s="6"/>
      <c r="U756" s="6"/>
      <c r="V756" s="6"/>
      <c r="W756" s="6"/>
      <c r="X756" s="6"/>
      <c r="Z756" s="5"/>
      <c r="AA756" s="5"/>
      <c r="AB756" s="5"/>
    </row>
    <row r="757" spans="1:28" x14ac:dyDescent="0.35">
      <c r="A757" s="8"/>
      <c r="B757" s="5"/>
      <c r="E757" s="5"/>
      <c r="G757" s="4"/>
      <c r="K757" s="5"/>
      <c r="L757" s="5"/>
      <c r="M757" s="5"/>
      <c r="N757" s="5"/>
      <c r="O757" s="5"/>
      <c r="P757" s="5"/>
      <c r="Q757" s="5"/>
      <c r="R757" s="5"/>
      <c r="S757" s="6"/>
      <c r="T757" s="6"/>
      <c r="U757" s="6"/>
      <c r="V757" s="6"/>
      <c r="W757" s="6"/>
      <c r="X757" s="6"/>
      <c r="Z757" s="5"/>
      <c r="AA757" s="5"/>
      <c r="AB757" s="5"/>
    </row>
    <row r="758" spans="1:28" x14ac:dyDescent="0.35">
      <c r="A758" s="8"/>
      <c r="B758" s="5"/>
      <c r="E758" s="5"/>
      <c r="G758" s="4"/>
      <c r="K758" s="5"/>
      <c r="L758" s="5"/>
      <c r="M758" s="5"/>
      <c r="N758" s="5"/>
      <c r="O758" s="5"/>
      <c r="P758" s="5"/>
      <c r="Q758" s="5"/>
      <c r="R758" s="5"/>
      <c r="S758" s="6"/>
      <c r="T758" s="6"/>
      <c r="U758" s="6"/>
      <c r="V758" s="6"/>
      <c r="W758" s="6"/>
      <c r="X758" s="6"/>
      <c r="Z758" s="5"/>
      <c r="AA758" s="5"/>
      <c r="AB758" s="5"/>
    </row>
    <row r="759" spans="1:28" x14ac:dyDescent="0.35">
      <c r="A759" s="8"/>
      <c r="B759" s="5"/>
      <c r="E759" s="5"/>
      <c r="G759" s="4"/>
      <c r="K759" s="5"/>
      <c r="L759" s="5"/>
      <c r="M759" s="5"/>
      <c r="N759" s="5"/>
      <c r="O759" s="5"/>
      <c r="P759" s="5"/>
      <c r="Q759" s="5"/>
      <c r="R759" s="5"/>
      <c r="S759" s="6"/>
      <c r="T759" s="6"/>
      <c r="U759" s="6"/>
      <c r="V759" s="6"/>
      <c r="W759" s="6"/>
      <c r="X759" s="6"/>
      <c r="Z759" s="5"/>
      <c r="AA759" s="5"/>
      <c r="AB759" s="5"/>
    </row>
    <row r="760" spans="1:28" x14ac:dyDescent="0.35">
      <c r="A760" s="8"/>
      <c r="B760" s="5"/>
      <c r="E760" s="5"/>
      <c r="G760" s="4"/>
      <c r="K760" s="5"/>
      <c r="L760" s="5"/>
      <c r="M760" s="5"/>
      <c r="N760" s="5"/>
      <c r="O760" s="5"/>
      <c r="P760" s="5"/>
      <c r="Q760" s="5"/>
      <c r="R760" s="5"/>
      <c r="S760" s="6"/>
      <c r="T760" s="6"/>
      <c r="U760" s="6"/>
      <c r="V760" s="6"/>
      <c r="W760" s="6"/>
      <c r="X760" s="6"/>
      <c r="Z760" s="5"/>
      <c r="AA760" s="5"/>
      <c r="AB760" s="5"/>
    </row>
    <row r="761" spans="1:28" x14ac:dyDescent="0.35">
      <c r="A761" s="8"/>
      <c r="B761" s="5"/>
      <c r="E761" s="5"/>
      <c r="G761" s="4"/>
      <c r="K761" s="5"/>
      <c r="L761" s="5"/>
      <c r="M761" s="5"/>
      <c r="N761" s="5"/>
      <c r="O761" s="5"/>
      <c r="P761" s="5"/>
      <c r="Q761" s="5"/>
      <c r="R761" s="5"/>
      <c r="S761" s="6"/>
      <c r="T761" s="6"/>
      <c r="U761" s="6"/>
      <c r="V761" s="6"/>
      <c r="W761" s="6"/>
      <c r="X761" s="6"/>
      <c r="Z761" s="5"/>
      <c r="AA761" s="5"/>
      <c r="AB761" s="5"/>
    </row>
    <row r="762" spans="1:28" x14ac:dyDescent="0.35">
      <c r="A762" s="8"/>
      <c r="B762" s="5"/>
      <c r="E762" s="5"/>
      <c r="G762" s="4"/>
      <c r="K762" s="5"/>
      <c r="L762" s="5"/>
      <c r="M762" s="5"/>
      <c r="N762" s="5"/>
      <c r="O762" s="5"/>
      <c r="P762" s="5"/>
      <c r="Q762" s="5"/>
      <c r="R762" s="5"/>
      <c r="S762" s="6"/>
      <c r="T762" s="6"/>
      <c r="U762" s="6"/>
      <c r="V762" s="6"/>
      <c r="W762" s="6"/>
      <c r="X762" s="6"/>
      <c r="Z762" s="5"/>
      <c r="AA762" s="5"/>
      <c r="AB762" s="5"/>
    </row>
    <row r="763" spans="1:28" x14ac:dyDescent="0.35">
      <c r="A763" s="8"/>
      <c r="B763" s="5"/>
      <c r="E763" s="5"/>
      <c r="G763" s="4"/>
      <c r="K763" s="5"/>
      <c r="L763" s="5"/>
      <c r="M763" s="5"/>
      <c r="N763" s="5"/>
      <c r="O763" s="5"/>
      <c r="P763" s="5"/>
      <c r="Q763" s="5"/>
      <c r="R763" s="5"/>
      <c r="S763" s="6"/>
      <c r="T763" s="6"/>
      <c r="U763" s="6"/>
      <c r="V763" s="6"/>
      <c r="W763" s="6"/>
      <c r="X763" s="6"/>
      <c r="Z763" s="5"/>
      <c r="AA763" s="5"/>
      <c r="AB763" s="5"/>
    </row>
    <row r="764" spans="1:28" x14ac:dyDescent="0.35">
      <c r="A764" s="8"/>
      <c r="B764" s="5"/>
      <c r="E764" s="5"/>
      <c r="G764" s="4"/>
      <c r="K764" s="5"/>
      <c r="L764" s="5"/>
      <c r="M764" s="5"/>
      <c r="N764" s="5"/>
      <c r="O764" s="5"/>
      <c r="P764" s="5"/>
      <c r="Q764" s="5"/>
      <c r="R764" s="5"/>
      <c r="S764" s="6"/>
      <c r="T764" s="6"/>
      <c r="U764" s="6"/>
      <c r="V764" s="6"/>
      <c r="W764" s="6"/>
      <c r="X764" s="6"/>
      <c r="Z764" s="5"/>
      <c r="AA764" s="5"/>
      <c r="AB764" s="5"/>
    </row>
    <row r="765" spans="1:28" x14ac:dyDescent="0.35">
      <c r="A765" s="8"/>
      <c r="B765" s="5"/>
      <c r="E765" s="5"/>
      <c r="G765" s="4"/>
      <c r="K765" s="5"/>
      <c r="L765" s="5"/>
      <c r="M765" s="5"/>
      <c r="N765" s="5"/>
      <c r="O765" s="5"/>
      <c r="P765" s="5"/>
      <c r="Q765" s="5"/>
      <c r="R765" s="5"/>
      <c r="S765" s="6"/>
      <c r="T765" s="6"/>
      <c r="U765" s="6"/>
      <c r="V765" s="6"/>
      <c r="W765" s="6"/>
      <c r="X765" s="6"/>
      <c r="Z765" s="5"/>
      <c r="AA765" s="5"/>
      <c r="AB765" s="5"/>
    </row>
    <row r="766" spans="1:28" x14ac:dyDescent="0.35">
      <c r="A766" s="8"/>
      <c r="B766" s="5"/>
      <c r="E766" s="5"/>
      <c r="G766" s="4"/>
      <c r="K766" s="5"/>
      <c r="L766" s="5"/>
      <c r="M766" s="5"/>
      <c r="N766" s="5"/>
      <c r="O766" s="5"/>
      <c r="P766" s="5"/>
      <c r="Q766" s="5"/>
      <c r="R766" s="5"/>
      <c r="S766" s="6"/>
      <c r="T766" s="6"/>
      <c r="U766" s="6"/>
      <c r="V766" s="6"/>
      <c r="W766" s="6"/>
      <c r="X766" s="6"/>
      <c r="Z766" s="5"/>
      <c r="AA766" s="5"/>
      <c r="AB766" s="5"/>
    </row>
    <row r="767" spans="1:28" x14ac:dyDescent="0.35">
      <c r="A767" s="8"/>
      <c r="B767" s="5"/>
      <c r="E767" s="5"/>
      <c r="G767" s="4"/>
      <c r="K767" s="5"/>
      <c r="L767" s="5"/>
      <c r="M767" s="5"/>
      <c r="N767" s="5"/>
      <c r="O767" s="5"/>
      <c r="P767" s="5"/>
      <c r="Q767" s="5"/>
      <c r="R767" s="5"/>
      <c r="S767" s="6"/>
      <c r="T767" s="6"/>
      <c r="U767" s="6"/>
      <c r="V767" s="6"/>
      <c r="W767" s="6"/>
      <c r="X767" s="6"/>
      <c r="Z767" s="5"/>
      <c r="AA767" s="5"/>
      <c r="AB767" s="5"/>
    </row>
    <row r="768" spans="1:28" x14ac:dyDescent="0.35">
      <c r="A768" s="8"/>
      <c r="B768" s="5"/>
      <c r="E768" s="5"/>
      <c r="G768" s="4"/>
      <c r="K768" s="5"/>
      <c r="L768" s="5"/>
      <c r="M768" s="5"/>
      <c r="N768" s="5"/>
      <c r="O768" s="5"/>
      <c r="P768" s="5"/>
      <c r="Q768" s="5"/>
      <c r="R768" s="5"/>
      <c r="S768" s="6"/>
      <c r="T768" s="6"/>
      <c r="U768" s="6"/>
      <c r="V768" s="6"/>
      <c r="W768" s="6"/>
      <c r="X768" s="6"/>
      <c r="Z768" s="5"/>
      <c r="AA768" s="5"/>
      <c r="AB768" s="5"/>
    </row>
    <row r="769" spans="1:28" x14ac:dyDescent="0.35">
      <c r="A769" s="8"/>
      <c r="B769" s="5"/>
      <c r="E769" s="5"/>
      <c r="G769" s="4"/>
      <c r="K769" s="5"/>
      <c r="L769" s="5"/>
      <c r="M769" s="5"/>
      <c r="N769" s="5"/>
      <c r="O769" s="5"/>
      <c r="P769" s="5"/>
      <c r="Q769" s="5"/>
      <c r="R769" s="5"/>
      <c r="S769" s="6"/>
      <c r="T769" s="6"/>
      <c r="U769" s="6"/>
      <c r="V769" s="6"/>
      <c r="W769" s="6"/>
      <c r="X769" s="6"/>
      <c r="Z769" s="5"/>
      <c r="AA769" s="5"/>
      <c r="AB769" s="5"/>
    </row>
    <row r="770" spans="1:28" x14ac:dyDescent="0.35">
      <c r="A770" s="8"/>
      <c r="B770" s="5"/>
      <c r="E770" s="5"/>
      <c r="G770" s="4"/>
      <c r="K770" s="5"/>
      <c r="L770" s="5"/>
      <c r="M770" s="5"/>
      <c r="N770" s="5"/>
      <c r="O770" s="5"/>
      <c r="P770" s="5"/>
      <c r="Q770" s="5"/>
      <c r="R770" s="5"/>
      <c r="S770" s="6"/>
      <c r="T770" s="6"/>
      <c r="U770" s="6"/>
      <c r="V770" s="6"/>
      <c r="W770" s="6"/>
      <c r="X770" s="6"/>
      <c r="Z770" s="5"/>
      <c r="AA770" s="5"/>
      <c r="AB770" s="5"/>
    </row>
    <row r="771" spans="1:28" x14ac:dyDescent="0.35">
      <c r="A771" s="8"/>
      <c r="B771" s="5"/>
      <c r="E771" s="5"/>
      <c r="G771" s="4"/>
      <c r="K771" s="5"/>
      <c r="L771" s="5"/>
      <c r="M771" s="5"/>
      <c r="N771" s="5"/>
      <c r="O771" s="5"/>
      <c r="P771" s="5"/>
      <c r="Q771" s="5"/>
      <c r="R771" s="5"/>
      <c r="S771" s="6"/>
      <c r="T771" s="6"/>
      <c r="U771" s="6"/>
      <c r="V771" s="6"/>
      <c r="W771" s="6"/>
      <c r="X771" s="6"/>
      <c r="Z771" s="5"/>
      <c r="AA771" s="5"/>
      <c r="AB771" s="5"/>
    </row>
    <row r="772" spans="1:28" x14ac:dyDescent="0.35">
      <c r="A772" s="8"/>
      <c r="B772" s="5"/>
      <c r="E772" s="5"/>
      <c r="G772" s="4"/>
      <c r="K772" s="5"/>
      <c r="L772" s="5"/>
      <c r="M772" s="5"/>
      <c r="N772" s="5"/>
      <c r="O772" s="5"/>
      <c r="P772" s="5"/>
      <c r="Q772" s="5"/>
      <c r="R772" s="5"/>
      <c r="S772" s="6"/>
      <c r="T772" s="6"/>
      <c r="U772" s="6"/>
      <c r="V772" s="6"/>
      <c r="W772" s="6"/>
      <c r="X772" s="6"/>
      <c r="Z772" s="5"/>
      <c r="AA772" s="5"/>
      <c r="AB772" s="5"/>
    </row>
    <row r="773" spans="1:28" x14ac:dyDescent="0.35">
      <c r="A773" s="8"/>
      <c r="B773" s="5"/>
      <c r="E773" s="5"/>
      <c r="G773" s="4"/>
      <c r="K773" s="5"/>
      <c r="L773" s="5"/>
      <c r="M773" s="5"/>
      <c r="N773" s="5"/>
      <c r="O773" s="5"/>
      <c r="P773" s="5"/>
      <c r="Q773" s="5"/>
      <c r="R773" s="5"/>
      <c r="S773" s="6"/>
      <c r="T773" s="6"/>
      <c r="U773" s="6"/>
      <c r="V773" s="6"/>
      <c r="W773" s="6"/>
      <c r="X773" s="6"/>
      <c r="Z773" s="5"/>
      <c r="AA773" s="5"/>
      <c r="AB773" s="5"/>
    </row>
    <row r="774" spans="1:28" x14ac:dyDescent="0.35">
      <c r="A774" s="8"/>
      <c r="B774" s="5"/>
      <c r="E774" s="5"/>
      <c r="G774" s="4"/>
      <c r="K774" s="5"/>
      <c r="L774" s="5"/>
      <c r="M774" s="5"/>
      <c r="N774" s="5"/>
      <c r="O774" s="5"/>
      <c r="P774" s="5"/>
      <c r="Q774" s="5"/>
      <c r="R774" s="5"/>
      <c r="S774" s="6"/>
      <c r="T774" s="6"/>
      <c r="U774" s="6"/>
      <c r="V774" s="6"/>
      <c r="W774" s="6"/>
      <c r="X774" s="6"/>
      <c r="Z774" s="5"/>
      <c r="AA774" s="5"/>
      <c r="AB774" s="5"/>
    </row>
    <row r="775" spans="1:28" x14ac:dyDescent="0.35">
      <c r="A775" s="8"/>
      <c r="B775" s="5"/>
      <c r="E775" s="5"/>
      <c r="G775" s="4"/>
      <c r="K775" s="5"/>
      <c r="L775" s="5"/>
      <c r="M775" s="5"/>
      <c r="N775" s="5"/>
      <c r="O775" s="5"/>
      <c r="P775" s="5"/>
      <c r="Q775" s="5"/>
      <c r="R775" s="5"/>
      <c r="S775" s="6"/>
      <c r="T775" s="6"/>
      <c r="U775" s="6"/>
      <c r="V775" s="6"/>
      <c r="W775" s="6"/>
      <c r="X775" s="6"/>
      <c r="Z775" s="5"/>
      <c r="AA775" s="5"/>
      <c r="AB775" s="5"/>
    </row>
    <row r="776" spans="1:28" x14ac:dyDescent="0.35">
      <c r="A776" s="8"/>
      <c r="B776" s="5"/>
      <c r="E776" s="5"/>
      <c r="G776" s="4"/>
      <c r="K776" s="5"/>
      <c r="L776" s="5"/>
      <c r="M776" s="5"/>
      <c r="N776" s="5"/>
      <c r="O776" s="5"/>
      <c r="P776" s="5"/>
      <c r="Q776" s="5"/>
      <c r="R776" s="5"/>
      <c r="S776" s="6"/>
      <c r="T776" s="6"/>
      <c r="U776" s="6"/>
      <c r="V776" s="6"/>
      <c r="W776" s="6"/>
      <c r="X776" s="6"/>
      <c r="Z776" s="5"/>
      <c r="AA776" s="5"/>
      <c r="AB776" s="5"/>
    </row>
    <row r="777" spans="1:28" x14ac:dyDescent="0.35">
      <c r="A777" s="8"/>
      <c r="B777" s="5"/>
      <c r="E777" s="5"/>
      <c r="G777" s="4"/>
      <c r="K777" s="5"/>
      <c r="L777" s="5"/>
      <c r="M777" s="5"/>
      <c r="N777" s="5"/>
      <c r="O777" s="5"/>
      <c r="P777" s="5"/>
      <c r="Q777" s="5"/>
      <c r="R777" s="5"/>
      <c r="S777" s="6"/>
      <c r="T777" s="6"/>
      <c r="U777" s="6"/>
      <c r="V777" s="6"/>
      <c r="W777" s="6"/>
      <c r="X777" s="6"/>
      <c r="Z777" s="5"/>
      <c r="AA777" s="5"/>
      <c r="AB777" s="5"/>
    </row>
    <row r="778" spans="1:28" x14ac:dyDescent="0.35">
      <c r="A778" s="8"/>
      <c r="B778" s="5"/>
      <c r="E778" s="5"/>
      <c r="G778" s="4"/>
      <c r="K778" s="5"/>
      <c r="L778" s="5"/>
      <c r="M778" s="5"/>
      <c r="N778" s="5"/>
      <c r="O778" s="5"/>
      <c r="P778" s="5"/>
      <c r="Q778" s="5"/>
      <c r="R778" s="5"/>
      <c r="S778" s="6"/>
      <c r="T778" s="6"/>
      <c r="U778" s="6"/>
      <c r="V778" s="6"/>
      <c r="W778" s="6"/>
      <c r="X778" s="6"/>
      <c r="Z778" s="5"/>
      <c r="AA778" s="5"/>
      <c r="AB778" s="5"/>
    </row>
    <row r="779" spans="1:28" x14ac:dyDescent="0.35">
      <c r="A779" s="8"/>
      <c r="B779" s="5"/>
      <c r="E779" s="5"/>
      <c r="G779" s="4"/>
      <c r="K779" s="5"/>
      <c r="L779" s="5"/>
      <c r="M779" s="5"/>
      <c r="N779" s="5"/>
      <c r="O779" s="5"/>
      <c r="P779" s="5"/>
      <c r="Q779" s="5"/>
      <c r="R779" s="5"/>
      <c r="S779" s="6"/>
      <c r="T779" s="6"/>
      <c r="U779" s="6"/>
      <c r="V779" s="6"/>
      <c r="W779" s="6"/>
      <c r="X779" s="6"/>
      <c r="Z779" s="5"/>
      <c r="AA779" s="5"/>
      <c r="AB779" s="5"/>
    </row>
    <row r="780" spans="1:28" x14ac:dyDescent="0.35">
      <c r="A780" s="8"/>
      <c r="B780" s="5"/>
      <c r="E780" s="5"/>
      <c r="G780" s="4"/>
      <c r="K780" s="5"/>
      <c r="L780" s="5"/>
      <c r="M780" s="5"/>
      <c r="N780" s="5"/>
      <c r="O780" s="5"/>
      <c r="P780" s="5"/>
      <c r="Q780" s="5"/>
      <c r="R780" s="5"/>
      <c r="S780" s="6"/>
      <c r="T780" s="6"/>
      <c r="U780" s="6"/>
      <c r="V780" s="6"/>
      <c r="W780" s="6"/>
      <c r="X780" s="6"/>
      <c r="Z780" s="5"/>
      <c r="AA780" s="5"/>
      <c r="AB780" s="5"/>
    </row>
    <row r="781" spans="1:28" x14ac:dyDescent="0.35">
      <c r="A781" s="8"/>
      <c r="B781" s="5"/>
      <c r="E781" s="5"/>
      <c r="G781" s="4"/>
      <c r="K781" s="5"/>
      <c r="L781" s="5"/>
      <c r="M781" s="5"/>
      <c r="N781" s="5"/>
      <c r="O781" s="5"/>
      <c r="P781" s="5"/>
      <c r="Q781" s="5"/>
      <c r="R781" s="5"/>
      <c r="S781" s="6"/>
      <c r="T781" s="6"/>
      <c r="U781" s="6"/>
      <c r="V781" s="6"/>
      <c r="W781" s="6"/>
      <c r="X781" s="6"/>
      <c r="Z781" s="5"/>
      <c r="AA781" s="5"/>
      <c r="AB781" s="5"/>
    </row>
    <row r="782" spans="1:28" x14ac:dyDescent="0.35">
      <c r="A782" s="8"/>
      <c r="B782" s="5"/>
      <c r="E782" s="5"/>
      <c r="G782" s="4"/>
      <c r="K782" s="5"/>
      <c r="L782" s="5"/>
      <c r="M782" s="5"/>
      <c r="N782" s="5"/>
      <c r="O782" s="5"/>
      <c r="P782" s="5"/>
      <c r="Q782" s="5"/>
      <c r="R782" s="5"/>
      <c r="S782" s="6"/>
      <c r="T782" s="6"/>
      <c r="U782" s="6"/>
      <c r="V782" s="6"/>
      <c r="W782" s="6"/>
      <c r="X782" s="6"/>
      <c r="Z782" s="5"/>
      <c r="AA782" s="5"/>
      <c r="AB782" s="5"/>
    </row>
    <row r="783" spans="1:28" x14ac:dyDescent="0.35">
      <c r="A783" s="8"/>
      <c r="B783" s="5"/>
      <c r="E783" s="5"/>
      <c r="G783" s="4"/>
      <c r="K783" s="5"/>
      <c r="L783" s="5"/>
      <c r="M783" s="5"/>
      <c r="N783" s="5"/>
      <c r="O783" s="5"/>
      <c r="P783" s="5"/>
      <c r="Q783" s="5"/>
      <c r="R783" s="5"/>
      <c r="S783" s="6"/>
      <c r="T783" s="6"/>
      <c r="U783" s="6"/>
      <c r="V783" s="6"/>
      <c r="W783" s="6"/>
      <c r="X783" s="6"/>
      <c r="Z783" s="5"/>
      <c r="AA783" s="5"/>
      <c r="AB783" s="5"/>
    </row>
    <row r="784" spans="1:28" x14ac:dyDescent="0.35">
      <c r="A784" s="8"/>
      <c r="B784" s="5"/>
      <c r="E784" s="5"/>
      <c r="G784" s="4"/>
      <c r="K784" s="5"/>
      <c r="L784" s="5"/>
      <c r="M784" s="5"/>
      <c r="N784" s="5"/>
      <c r="O784" s="5"/>
      <c r="P784" s="5"/>
      <c r="Q784" s="5"/>
      <c r="R784" s="5"/>
      <c r="S784" s="6"/>
      <c r="T784" s="6"/>
      <c r="U784" s="6"/>
      <c r="V784" s="6"/>
      <c r="W784" s="6"/>
      <c r="X784" s="6"/>
      <c r="Z784" s="5"/>
      <c r="AA784" s="5"/>
      <c r="AB784" s="5"/>
    </row>
    <row r="785" spans="1:28" x14ac:dyDescent="0.35">
      <c r="A785" s="8"/>
      <c r="B785" s="5"/>
      <c r="E785" s="5"/>
      <c r="G785" s="4"/>
      <c r="K785" s="5"/>
      <c r="L785" s="5"/>
      <c r="M785" s="5"/>
      <c r="N785" s="5"/>
      <c r="O785" s="5"/>
      <c r="P785" s="5"/>
      <c r="Q785" s="5"/>
      <c r="R785" s="5"/>
      <c r="S785" s="6"/>
      <c r="T785" s="6"/>
      <c r="U785" s="6"/>
      <c r="V785" s="6"/>
      <c r="W785" s="6"/>
      <c r="X785" s="6"/>
      <c r="Z785" s="5"/>
      <c r="AA785" s="5"/>
      <c r="AB785" s="5"/>
    </row>
    <row r="786" spans="1:28" x14ac:dyDescent="0.35">
      <c r="A786" s="8"/>
      <c r="B786" s="5"/>
      <c r="E786" s="5"/>
      <c r="G786" s="4"/>
      <c r="K786" s="5"/>
      <c r="L786" s="5"/>
      <c r="M786" s="5"/>
      <c r="N786" s="5"/>
      <c r="O786" s="5"/>
      <c r="P786" s="5"/>
      <c r="Q786" s="5"/>
      <c r="R786" s="5"/>
      <c r="S786" s="6"/>
      <c r="T786" s="6"/>
      <c r="U786" s="6"/>
      <c r="V786" s="6"/>
      <c r="W786" s="6"/>
      <c r="X786" s="6"/>
      <c r="Z786" s="5"/>
      <c r="AA786" s="5"/>
      <c r="AB786" s="5"/>
    </row>
    <row r="787" spans="1:28" x14ac:dyDescent="0.35">
      <c r="A787" s="8"/>
      <c r="B787" s="5"/>
      <c r="E787" s="5"/>
      <c r="G787" s="4"/>
      <c r="K787" s="5"/>
      <c r="L787" s="5"/>
      <c r="M787" s="5"/>
      <c r="N787" s="5"/>
      <c r="O787" s="5"/>
      <c r="P787" s="5"/>
      <c r="Q787" s="5"/>
      <c r="R787" s="5"/>
      <c r="S787" s="6"/>
      <c r="T787" s="6"/>
      <c r="U787" s="6"/>
      <c r="V787" s="6"/>
      <c r="W787" s="6"/>
      <c r="X787" s="6"/>
      <c r="Z787" s="5"/>
      <c r="AA787" s="5"/>
      <c r="AB787" s="5"/>
    </row>
    <row r="788" spans="1:28" x14ac:dyDescent="0.35">
      <c r="A788" s="8"/>
      <c r="B788" s="5"/>
      <c r="E788" s="5"/>
      <c r="G788" s="4"/>
      <c r="K788" s="5"/>
      <c r="L788" s="5"/>
      <c r="M788" s="5"/>
      <c r="N788" s="5"/>
      <c r="O788" s="5"/>
      <c r="P788" s="5"/>
      <c r="Q788" s="5"/>
      <c r="R788" s="5"/>
      <c r="S788" s="6"/>
      <c r="T788" s="6"/>
      <c r="U788" s="6"/>
      <c r="V788" s="6"/>
      <c r="W788" s="6"/>
      <c r="X788" s="6"/>
      <c r="Z788" s="5"/>
      <c r="AA788" s="5"/>
      <c r="AB788" s="5"/>
    </row>
    <row r="789" spans="1:28" x14ac:dyDescent="0.35">
      <c r="A789" s="8"/>
      <c r="B789" s="5"/>
      <c r="E789" s="5"/>
      <c r="G789" s="4"/>
      <c r="K789" s="5"/>
      <c r="L789" s="5"/>
      <c r="M789" s="5"/>
      <c r="N789" s="5"/>
      <c r="O789" s="5"/>
      <c r="P789" s="5"/>
      <c r="Q789" s="5"/>
      <c r="R789" s="5"/>
      <c r="S789" s="6"/>
      <c r="T789" s="6"/>
      <c r="U789" s="6"/>
      <c r="V789" s="6"/>
      <c r="W789" s="6"/>
      <c r="X789" s="6"/>
      <c r="Z789" s="5"/>
      <c r="AA789" s="5"/>
      <c r="AB789" s="5"/>
    </row>
    <row r="790" spans="1:28" x14ac:dyDescent="0.35">
      <c r="A790" s="8"/>
      <c r="B790" s="5"/>
      <c r="E790" s="5"/>
      <c r="G790" s="4"/>
      <c r="K790" s="5"/>
      <c r="L790" s="5"/>
      <c r="M790" s="5"/>
      <c r="N790" s="5"/>
      <c r="O790" s="5"/>
      <c r="P790" s="5"/>
      <c r="Q790" s="5"/>
      <c r="R790" s="5"/>
      <c r="S790" s="6"/>
      <c r="T790" s="6"/>
      <c r="U790" s="6"/>
      <c r="V790" s="6"/>
      <c r="W790" s="6"/>
      <c r="X790" s="6"/>
      <c r="Z790" s="5"/>
      <c r="AA790" s="5"/>
      <c r="AB790" s="5"/>
    </row>
    <row r="791" spans="1:28" x14ac:dyDescent="0.35">
      <c r="A791" s="8"/>
      <c r="B791" s="5"/>
      <c r="E791" s="5"/>
      <c r="G791" s="4"/>
      <c r="K791" s="5"/>
      <c r="L791" s="5"/>
      <c r="M791" s="5"/>
      <c r="N791" s="5"/>
      <c r="O791" s="5"/>
      <c r="P791" s="5"/>
      <c r="Q791" s="5"/>
      <c r="R791" s="5"/>
      <c r="S791" s="6"/>
      <c r="T791" s="6"/>
      <c r="U791" s="6"/>
      <c r="V791" s="6"/>
      <c r="W791" s="6"/>
      <c r="X791" s="6"/>
      <c r="Z791" s="5"/>
      <c r="AA791" s="5"/>
      <c r="AB791" s="5"/>
    </row>
    <row r="792" spans="1:28" x14ac:dyDescent="0.35">
      <c r="A792" s="8"/>
      <c r="B792" s="5"/>
      <c r="E792" s="5"/>
      <c r="G792" s="4"/>
      <c r="K792" s="5"/>
      <c r="L792" s="5"/>
      <c r="M792" s="5"/>
      <c r="N792" s="5"/>
      <c r="O792" s="5"/>
      <c r="P792" s="5"/>
      <c r="Q792" s="5"/>
      <c r="R792" s="5"/>
      <c r="S792" s="6"/>
      <c r="T792" s="6"/>
      <c r="U792" s="6"/>
      <c r="V792" s="6"/>
      <c r="W792" s="6"/>
      <c r="X792" s="6"/>
      <c r="Z792" s="5"/>
      <c r="AA792" s="5"/>
      <c r="AB792" s="5"/>
    </row>
    <row r="793" spans="1:28" x14ac:dyDescent="0.35">
      <c r="A793" s="8"/>
      <c r="B793" s="5"/>
      <c r="E793" s="5"/>
      <c r="G793" s="4"/>
      <c r="K793" s="5"/>
      <c r="L793" s="5"/>
      <c r="M793" s="5"/>
      <c r="N793" s="5"/>
      <c r="O793" s="5"/>
      <c r="P793" s="5"/>
      <c r="Q793" s="5"/>
      <c r="R793" s="5"/>
      <c r="S793" s="6"/>
      <c r="T793" s="6"/>
      <c r="U793" s="6"/>
      <c r="V793" s="6"/>
      <c r="W793" s="6"/>
      <c r="X793" s="6"/>
      <c r="Z793" s="5"/>
      <c r="AA793" s="5"/>
      <c r="AB793" s="5"/>
    </row>
    <row r="794" spans="1:28" x14ac:dyDescent="0.35">
      <c r="A794" s="8"/>
      <c r="B794" s="5"/>
      <c r="E794" s="5"/>
      <c r="G794" s="4"/>
      <c r="K794" s="5"/>
      <c r="L794" s="5"/>
      <c r="M794" s="5"/>
      <c r="N794" s="5"/>
      <c r="O794" s="5"/>
      <c r="P794" s="5"/>
      <c r="Q794" s="5"/>
      <c r="R794" s="5"/>
      <c r="S794" s="6"/>
      <c r="T794" s="6"/>
      <c r="U794" s="6"/>
      <c r="V794" s="6"/>
      <c r="W794" s="6"/>
      <c r="X794" s="6"/>
      <c r="Z794" s="5"/>
      <c r="AA794" s="5"/>
      <c r="AB794" s="5"/>
    </row>
    <row r="795" spans="1:28" x14ac:dyDescent="0.35">
      <c r="A795" s="8"/>
      <c r="B795" s="5"/>
      <c r="E795" s="5"/>
      <c r="G795" s="4"/>
      <c r="K795" s="5"/>
      <c r="L795" s="5"/>
      <c r="M795" s="5"/>
      <c r="N795" s="5"/>
      <c r="O795" s="5"/>
      <c r="P795" s="5"/>
      <c r="Q795" s="5"/>
      <c r="R795" s="5"/>
      <c r="S795" s="6"/>
      <c r="T795" s="6"/>
      <c r="U795" s="6"/>
      <c r="V795" s="6"/>
      <c r="W795" s="6"/>
      <c r="X795" s="6"/>
      <c r="Z795" s="5"/>
      <c r="AA795" s="5"/>
      <c r="AB795" s="5"/>
    </row>
    <row r="796" spans="1:28" x14ac:dyDescent="0.35">
      <c r="A796" s="8"/>
      <c r="B796" s="5"/>
      <c r="E796" s="5"/>
      <c r="G796" s="4"/>
      <c r="K796" s="5"/>
      <c r="L796" s="5"/>
      <c r="M796" s="5"/>
      <c r="N796" s="5"/>
      <c r="O796" s="5"/>
      <c r="P796" s="5"/>
      <c r="Q796" s="5"/>
      <c r="R796" s="5"/>
      <c r="S796" s="6"/>
      <c r="T796" s="6"/>
      <c r="U796" s="6"/>
      <c r="V796" s="6"/>
      <c r="W796" s="6"/>
      <c r="X796" s="6"/>
      <c r="Z796" s="5"/>
      <c r="AA796" s="5"/>
      <c r="AB796" s="5"/>
    </row>
    <row r="797" spans="1:28" x14ac:dyDescent="0.35">
      <c r="A797" s="8"/>
      <c r="B797" s="5"/>
      <c r="E797" s="5"/>
      <c r="G797" s="4"/>
      <c r="K797" s="5"/>
      <c r="L797" s="5"/>
      <c r="M797" s="5"/>
      <c r="N797" s="5"/>
      <c r="O797" s="5"/>
      <c r="P797" s="5"/>
      <c r="Q797" s="5"/>
      <c r="R797" s="5"/>
      <c r="S797" s="6"/>
      <c r="T797" s="6"/>
      <c r="U797" s="6"/>
      <c r="V797" s="6"/>
      <c r="W797" s="6"/>
      <c r="X797" s="6"/>
      <c r="Z797" s="5"/>
      <c r="AA797" s="5"/>
      <c r="AB797" s="5"/>
    </row>
    <row r="798" spans="1:28" x14ac:dyDescent="0.35">
      <c r="A798" s="8"/>
      <c r="B798" s="5"/>
      <c r="E798" s="5"/>
      <c r="G798" s="4"/>
      <c r="K798" s="5"/>
      <c r="L798" s="5"/>
      <c r="M798" s="5"/>
      <c r="N798" s="5"/>
      <c r="O798" s="5"/>
      <c r="P798" s="5"/>
      <c r="Q798" s="5"/>
      <c r="R798" s="5"/>
      <c r="S798" s="6"/>
      <c r="T798" s="6"/>
      <c r="U798" s="6"/>
      <c r="V798" s="6"/>
      <c r="W798" s="6"/>
      <c r="X798" s="6"/>
      <c r="Z798" s="5"/>
      <c r="AA798" s="5"/>
      <c r="AB798" s="5"/>
    </row>
    <row r="799" spans="1:28" x14ac:dyDescent="0.35">
      <c r="A799" s="8"/>
      <c r="B799" s="5"/>
      <c r="E799" s="5"/>
      <c r="G799" s="4"/>
      <c r="K799" s="5"/>
      <c r="L799" s="5"/>
      <c r="M799" s="5"/>
      <c r="N799" s="5"/>
      <c r="O799" s="5"/>
      <c r="P799" s="5"/>
      <c r="Q799" s="5"/>
      <c r="R799" s="5"/>
      <c r="S799" s="6"/>
      <c r="T799" s="6"/>
      <c r="U799" s="6"/>
      <c r="V799" s="6"/>
      <c r="W799" s="6"/>
      <c r="X799" s="6"/>
      <c r="Z799" s="5"/>
      <c r="AA799" s="5"/>
      <c r="AB799" s="5"/>
    </row>
    <row r="800" spans="1:28" x14ac:dyDescent="0.35">
      <c r="A800" s="8"/>
      <c r="B800" s="5"/>
      <c r="E800" s="5"/>
      <c r="G800" s="4"/>
      <c r="K800" s="5"/>
      <c r="L800" s="5"/>
      <c r="M800" s="5"/>
      <c r="N800" s="5"/>
      <c r="O800" s="5"/>
      <c r="P800" s="5"/>
      <c r="Q800" s="5"/>
      <c r="R800" s="5"/>
      <c r="S800" s="6"/>
      <c r="T800" s="6"/>
      <c r="U800" s="6"/>
      <c r="V800" s="6"/>
      <c r="W800" s="6"/>
      <c r="X800" s="6"/>
      <c r="Z800" s="5"/>
      <c r="AA800" s="5"/>
      <c r="AB800" s="5"/>
    </row>
    <row r="801" spans="1:28" x14ac:dyDescent="0.35">
      <c r="A801" s="8"/>
      <c r="B801" s="5"/>
      <c r="E801" s="5"/>
      <c r="G801" s="4"/>
      <c r="K801" s="5"/>
      <c r="L801" s="5"/>
      <c r="M801" s="5"/>
      <c r="N801" s="5"/>
      <c r="O801" s="5"/>
      <c r="P801" s="5"/>
      <c r="Q801" s="5"/>
      <c r="R801" s="5"/>
      <c r="S801" s="6"/>
      <c r="T801" s="6"/>
      <c r="U801" s="6"/>
      <c r="V801" s="6"/>
      <c r="W801" s="6"/>
      <c r="X801" s="6"/>
      <c r="Z801" s="5"/>
      <c r="AA801" s="5"/>
      <c r="AB801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2025-11-14T17:37:37Z</cp:lastPrinted>
  <dcterms:created xsi:type="dcterms:W3CDTF">2025-11-06T08:36:31Z</dcterms:created>
  <dcterms:modified xsi:type="dcterms:W3CDTF">2025-11-26T08:46:48Z</dcterms:modified>
</cp:coreProperties>
</file>